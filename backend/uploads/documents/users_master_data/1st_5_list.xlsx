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RFF ATT\"/>
    </mc:Choice>
  </mc:AlternateContent>
  <xr:revisionPtr revIDLastSave="0" documentId="13_ncr:1_{75E02A73-32F5-45C1-81FB-562B3E3A93C1}" xr6:coauthVersionLast="47" xr6:coauthVersionMax="47" xr10:uidLastSave="{00000000-0000-0000-0000-000000000000}"/>
  <bookViews>
    <workbookView xWindow="-120" yWindow="-120" windowWidth="20730" windowHeight="11160" tabRatio="676" firstSheet="1" activeTab="1" xr2:uid="{00000000-000D-0000-FFFF-FFFF00000000}"/>
  </bookViews>
  <sheets>
    <sheet name="Don't Delete" sheetId="3" state="hidden" r:id="rId1"/>
    <sheet name="MAIN DATABASE" sheetId="1" r:id="rId2"/>
    <sheet name="Sheet2" sheetId="2" state="hidden" r:id="rId3"/>
    <sheet name="Summary" sheetId="8" state="hidden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1" hidden="1">'MAIN DATABASE'!$A$4:$AH$54</definedName>
    <definedName name="ahxbqays">[1]Sheet2!$F$2:$F$9</definedName>
    <definedName name="AREA">Sheet2!$A$2:$A$4</definedName>
    <definedName name="BLOOD">Sheet2!$F$2:$F$9</definedName>
    <definedName name="DD">[2]Sheet2!$C$2:$C$47</definedName>
    <definedName name="DESIGNATION">Sheet2!$D$2:$D$28</definedName>
    <definedName name="EDUCATION">Sheet2!$E$2:$E$12</definedName>
    <definedName name="FF">[3]Sheet2!$E$2:$E$12</definedName>
    <definedName name="FFF">[3]Sheet2!$B$2:$B$20</definedName>
    <definedName name="GGG">[3]Sheet2!$C$2:$C$47</definedName>
    <definedName name="H">[4]Sheet2!$H$2:$H$18</definedName>
    <definedName name="HHH">[3]Sheet2!$A$2:$A$4</definedName>
    <definedName name="lll">[5]Sheet2!$C$2:$C$47</definedName>
    <definedName name="ooo">[5]Sheet2!$B$2:$B$20</definedName>
    <definedName name="qqq">[5]Sheet2!$D$2:$D$28</definedName>
    <definedName name="REASON">Sheet2!$H$2:$H$18</definedName>
    <definedName name="RELATION">Sheet2!$G$2:$G$11</definedName>
    <definedName name="TERRITORY">Sheet2!$B$2:$B$20</definedName>
    <definedName name="TOWN">Sheet2!$C$2:$C$47</definedName>
    <definedName name="uuu">[5]Sheet2!$H$2:$H$18</definedName>
    <definedName name="yyyy">[5]Sheet2!$E$2:$E$12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2" l="1"/>
  <c r="Z3" i="2"/>
  <c r="Z4" i="2"/>
  <c r="Z5" i="2"/>
  <c r="Z6" i="2"/>
  <c r="Z7" i="2"/>
  <c r="Z8" i="2"/>
  <c r="Z9" i="2"/>
  <c r="Z10" i="2"/>
  <c r="Z11" i="2"/>
  <c r="Z12" i="2"/>
  <c r="Z13" i="2"/>
  <c r="Z14" i="2"/>
  <c r="Z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" i="2"/>
  <c r="L4" i="8" l="1"/>
  <c r="Q4" i="8"/>
  <c r="L5" i="8"/>
  <c r="M5" i="8"/>
  <c r="P5" i="8"/>
  <c r="Q5" i="8"/>
  <c r="Q6" i="8"/>
  <c r="L7" i="8"/>
  <c r="P7" i="8"/>
  <c r="Q7" i="8"/>
  <c r="L8" i="8"/>
  <c r="K9" i="8"/>
  <c r="L9" i="8"/>
  <c r="M9" i="8"/>
  <c r="P9" i="8"/>
  <c r="Q9" i="8"/>
  <c r="L11" i="8"/>
  <c r="L12" i="8"/>
  <c r="J14" i="8"/>
  <c r="L14" i="8"/>
  <c r="J16" i="8"/>
  <c r="L16" i="8"/>
  <c r="M16" i="8"/>
  <c r="P16" i="8"/>
  <c r="Q16" i="8"/>
  <c r="J18" i="8"/>
  <c r="L20" i="8"/>
  <c r="L22" i="8"/>
  <c r="J23" i="8"/>
  <c r="P23" i="8"/>
  <c r="K24" i="8"/>
  <c r="L24" i="8"/>
  <c r="P24" i="8"/>
  <c r="Q24" i="8"/>
  <c r="J25" i="8"/>
  <c r="L25" i="8"/>
  <c r="Q3" i="8"/>
  <c r="S9" i="8" l="1"/>
  <c r="S16" i="8"/>
  <c r="S5" i="8"/>
  <c r="S24" i="8"/>
  <c r="S7" i="8"/>
  <c r="I4" i="8" l="1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3" i="8"/>
  <c r="P3" i="8" l="1"/>
  <c r="S3" i="8" s="1"/>
  <c r="L6" i="8"/>
  <c r="J7" i="8"/>
  <c r="J4" i="8"/>
  <c r="J5" i="8"/>
  <c r="J19" i="8"/>
  <c r="P20" i="8"/>
  <c r="Q20" i="8"/>
  <c r="J21" i="8"/>
  <c r="L21" i="8"/>
  <c r="P21" i="8"/>
  <c r="L18" i="8"/>
  <c r="M18" i="8"/>
  <c r="P18" i="8"/>
  <c r="Q18" i="8"/>
  <c r="L23" i="8"/>
  <c r="Q23" i="8"/>
  <c r="S23" i="8" s="1"/>
  <c r="P25" i="8"/>
  <c r="Q25" i="8"/>
  <c r="J8" i="8"/>
  <c r="L13" i="8"/>
  <c r="P12" i="8"/>
  <c r="Q12" i="8"/>
  <c r="J11" i="8"/>
  <c r="P11" i="8"/>
  <c r="J15" i="8"/>
  <c r="J10" i="8"/>
  <c r="J6" i="8" l="1"/>
  <c r="Q14" i="8"/>
  <c r="M12" i="8"/>
  <c r="K13" i="8"/>
  <c r="P15" i="8"/>
  <c r="P13" i="8"/>
  <c r="S25" i="8"/>
  <c r="P4" i="8"/>
  <c r="S4" i="8" s="1"/>
  <c r="Q17" i="8"/>
  <c r="Q22" i="8"/>
  <c r="K22" i="8"/>
  <c r="K21" i="8"/>
  <c r="S20" i="8"/>
  <c r="L19" i="8"/>
  <c r="M14" i="8"/>
  <c r="Q8" i="8"/>
  <c r="M25" i="8"/>
  <c r="K23" i="8"/>
  <c r="O10" i="8"/>
  <c r="Q11" i="8"/>
  <c r="S11" i="8" s="1"/>
  <c r="O13" i="8"/>
  <c r="N13" i="8"/>
  <c r="J13" i="8"/>
  <c r="M8" i="8"/>
  <c r="N24" i="8"/>
  <c r="O15" i="8"/>
  <c r="K15" i="8"/>
  <c r="K14" i="8"/>
  <c r="M11" i="8"/>
  <c r="N16" i="8"/>
  <c r="N12" i="8"/>
  <c r="J12" i="8"/>
  <c r="Q13" i="8"/>
  <c r="M13" i="8"/>
  <c r="P8" i="8"/>
  <c r="N8" i="8"/>
  <c r="K25" i="8"/>
  <c r="O24" i="8"/>
  <c r="M23" i="8"/>
  <c r="S18" i="8"/>
  <c r="N18" i="8"/>
  <c r="P17" i="8"/>
  <c r="N17" i="8"/>
  <c r="Q21" i="8"/>
  <c r="S21" i="8" s="1"/>
  <c r="O20" i="8"/>
  <c r="Q19" i="8"/>
  <c r="O19" i="8"/>
  <c r="M4" i="8"/>
  <c r="N4" i="8"/>
  <c r="K4" i="8"/>
  <c r="N7" i="8"/>
  <c r="O6" i="8"/>
  <c r="L3" i="8"/>
  <c r="N3" i="8"/>
  <c r="K3" i="8"/>
  <c r="P10" i="8"/>
  <c r="M10" i="8"/>
  <c r="Q15" i="8"/>
  <c r="M15" i="8"/>
  <c r="P14" i="8"/>
  <c r="Q10" i="8"/>
  <c r="N10" i="8"/>
  <c r="L10" i="8"/>
  <c r="K10" i="8"/>
  <c r="N15" i="8"/>
  <c r="L15" i="8"/>
  <c r="O14" i="8"/>
  <c r="N14" i="8"/>
  <c r="O11" i="8"/>
  <c r="N11" i="8"/>
  <c r="O16" i="8"/>
  <c r="K16" i="8"/>
  <c r="N9" i="8"/>
  <c r="K8" i="8"/>
  <c r="N25" i="8"/>
  <c r="M24" i="8"/>
  <c r="N23" i="8"/>
  <c r="O18" i="8"/>
  <c r="L17" i="8"/>
  <c r="P22" i="8"/>
  <c r="O21" i="8"/>
  <c r="N21" i="8"/>
  <c r="M20" i="8"/>
  <c r="N19" i="8"/>
  <c r="K19" i="8"/>
  <c r="O5" i="8"/>
  <c r="J3" i="8"/>
  <c r="O12" i="8"/>
  <c r="O9" i="8"/>
  <c r="J9" i="8"/>
  <c r="O8" i="8"/>
  <c r="O25" i="8"/>
  <c r="J24" i="8"/>
  <c r="O23" i="8"/>
  <c r="K18" i="8"/>
  <c r="O17" i="8"/>
  <c r="M17" i="8"/>
  <c r="K17" i="8"/>
  <c r="O22" i="8"/>
  <c r="N20" i="8"/>
  <c r="K20" i="8"/>
  <c r="P19" i="8"/>
  <c r="M19" i="8"/>
  <c r="N5" i="8"/>
  <c r="K7" i="8"/>
  <c r="N6" i="8"/>
  <c r="K6" i="8"/>
  <c r="O3" i="8"/>
  <c r="M3" i="8"/>
  <c r="K11" i="8"/>
  <c r="S12" i="8"/>
  <c r="K12" i="8"/>
  <c r="J17" i="8"/>
  <c r="N22" i="8"/>
  <c r="M22" i="8"/>
  <c r="J22" i="8"/>
  <c r="M21" i="8"/>
  <c r="J20" i="8"/>
  <c r="K5" i="8"/>
  <c r="O4" i="8"/>
  <c r="O7" i="8"/>
  <c r="M7" i="8"/>
  <c r="P6" i="8"/>
  <c r="S6" i="8" s="1"/>
  <c r="M6" i="8"/>
  <c r="S15" i="8" l="1"/>
  <c r="S13" i="8"/>
  <c r="R21" i="8"/>
  <c r="T21" i="8" s="1"/>
  <c r="S19" i="8"/>
  <c r="S17" i="8"/>
  <c r="S8" i="8"/>
  <c r="R23" i="8"/>
  <c r="T23" i="8" s="1"/>
  <c r="R18" i="8"/>
  <c r="T18" i="8" s="1"/>
  <c r="S14" i="8"/>
  <c r="S22" i="8"/>
  <c r="R4" i="8"/>
  <c r="T4" i="8" s="1"/>
  <c r="R15" i="8"/>
  <c r="U15" i="8" s="1"/>
  <c r="R11" i="8"/>
  <c r="U11" i="8" s="1"/>
  <c r="R19" i="8"/>
  <c r="R24" i="8"/>
  <c r="U24" i="8" s="1"/>
  <c r="R5" i="8"/>
  <c r="U5" i="8" s="1"/>
  <c r="R16" i="8"/>
  <c r="U16" i="8" s="1"/>
  <c r="R17" i="8"/>
  <c r="R20" i="8"/>
  <c r="U20" i="8" s="1"/>
  <c r="R7" i="8"/>
  <c r="U7" i="8" s="1"/>
  <c r="R10" i="8"/>
  <c r="U10" i="8" s="1"/>
  <c r="R6" i="8"/>
  <c r="U6" i="8" s="1"/>
  <c r="R9" i="8"/>
  <c r="T9" i="8" s="1"/>
  <c r="R22" i="8"/>
  <c r="R8" i="8"/>
  <c r="U8" i="8" s="1"/>
  <c r="S10" i="8"/>
  <c r="R25" i="8"/>
  <c r="R14" i="8"/>
  <c r="R13" i="8"/>
  <c r="R3" i="8"/>
  <c r="T3" i="8" s="1"/>
  <c r="R12" i="8"/>
  <c r="U21" i="8" l="1"/>
  <c r="U23" i="8"/>
  <c r="T19" i="8"/>
  <c r="T17" i="8"/>
  <c r="T22" i="8"/>
  <c r="T11" i="8"/>
  <c r="U22" i="8"/>
  <c r="U17" i="8"/>
  <c r="U4" i="8"/>
  <c r="T10" i="8"/>
  <c r="U18" i="8"/>
  <c r="T16" i="8"/>
  <c r="T5" i="8"/>
  <c r="T20" i="8"/>
  <c r="T7" i="8"/>
  <c r="T15" i="8"/>
  <c r="U19" i="8"/>
  <c r="U9" i="8"/>
  <c r="T24" i="8"/>
  <c r="T8" i="8"/>
  <c r="T6" i="8"/>
  <c r="T14" i="8"/>
  <c r="U14" i="8"/>
  <c r="U12" i="8"/>
  <c r="T12" i="8"/>
  <c r="T13" i="8"/>
  <c r="U13" i="8"/>
  <c r="T25" i="8"/>
  <c r="U25" i="8"/>
  <c r="U3" i="8"/>
</calcChain>
</file>

<file path=xl/sharedStrings.xml><?xml version="1.0" encoding="utf-8"?>
<sst xmlns="http://schemas.openxmlformats.org/spreadsheetml/2006/main" count="1611" uniqueCount="582">
  <si>
    <t>SL</t>
  </si>
  <si>
    <t>Town</t>
  </si>
  <si>
    <t>Age</t>
  </si>
  <si>
    <t>Year</t>
  </si>
  <si>
    <t>Month</t>
  </si>
  <si>
    <t>NEW/RESIGNATION &amp; TERMINATION</t>
  </si>
  <si>
    <t>DATE OF NEW/RESIGNATION &amp; TERMINATION</t>
  </si>
  <si>
    <t>DHAKA SOUTH</t>
  </si>
  <si>
    <t>NARAYANGONJ</t>
  </si>
  <si>
    <t>NARSINGDHI</t>
  </si>
  <si>
    <t>CHITTAGONG</t>
  </si>
  <si>
    <t>COMILLA</t>
  </si>
  <si>
    <t>SYLHET</t>
  </si>
  <si>
    <t>KHULNA</t>
  </si>
  <si>
    <t>BARISAL</t>
  </si>
  <si>
    <t>KUSHTIA</t>
  </si>
  <si>
    <t>WATER</t>
  </si>
  <si>
    <t>WATER-CHITTAGONG</t>
  </si>
  <si>
    <t>MODERN TRADE DISTRIB</t>
  </si>
  <si>
    <t>MYMENSINGH</t>
  </si>
  <si>
    <t>DHAKA NORTH</t>
  </si>
  <si>
    <t>TANGAIL</t>
  </si>
  <si>
    <t>BOGRA</t>
  </si>
  <si>
    <t>RANGPUR</t>
  </si>
  <si>
    <t>RAJSHAHI</t>
  </si>
  <si>
    <t>MALIBAGH</t>
  </si>
  <si>
    <t>DARUS-SALAM</t>
  </si>
  <si>
    <t>MOHAMMADPUR</t>
  </si>
  <si>
    <t>NARAYANGANJ</t>
  </si>
  <si>
    <t>KARANIGANJ</t>
  </si>
  <si>
    <t>JATRABARI</t>
  </si>
  <si>
    <t>GHORASAL</t>
  </si>
  <si>
    <t>DAUDKANDI</t>
  </si>
  <si>
    <t>SONARGAON</t>
  </si>
  <si>
    <t>SHOPPING COMPLEX</t>
  </si>
  <si>
    <t>MUNSHIGANJ</t>
  </si>
  <si>
    <t>BOSHUNDHARA</t>
  </si>
  <si>
    <t>TEJGAON</t>
  </si>
  <si>
    <t>CHANKHERPOOL</t>
  </si>
  <si>
    <t>WARI</t>
  </si>
  <si>
    <t>DEWANHAT</t>
  </si>
  <si>
    <t>SITAKUND</t>
  </si>
  <si>
    <t>NASIRABAD</t>
  </si>
  <si>
    <t>HALISHAHAR</t>
  </si>
  <si>
    <t>HATHAZARI</t>
  </si>
  <si>
    <t>PATIYA</t>
  </si>
  <si>
    <t>COX'S BAZAR</t>
  </si>
  <si>
    <t>LAKSHAM</t>
  </si>
  <si>
    <t>CHANDPUR</t>
  </si>
  <si>
    <t>NOAKHALI</t>
  </si>
  <si>
    <t>FENI</t>
  </si>
  <si>
    <t>SYLHET METRO</t>
  </si>
  <si>
    <t>SUNAMGANJ</t>
  </si>
  <si>
    <t>SOUTH SURMA</t>
  </si>
  <si>
    <t>SHAYESTAGANJ</t>
  </si>
  <si>
    <t>M. BAZAR</t>
  </si>
  <si>
    <t>B. BARIA</t>
  </si>
  <si>
    <t>BHAIRAB</t>
  </si>
  <si>
    <t>KHULNA METRO</t>
  </si>
  <si>
    <t>SATHKIRA</t>
  </si>
  <si>
    <t>JESSORE</t>
  </si>
  <si>
    <t>NARAIL</t>
  </si>
  <si>
    <t>GOPALGANJ</t>
  </si>
  <si>
    <t>BAGERHAT</t>
  </si>
  <si>
    <t>JHALAKATI</t>
  </si>
  <si>
    <t>MADARIPUR</t>
  </si>
  <si>
    <t>PATUAKHALI</t>
  </si>
  <si>
    <t>BHOLA</t>
  </si>
  <si>
    <t>CHUADANGA</t>
  </si>
  <si>
    <t>FARIDPUR</t>
  </si>
  <si>
    <t>JHENAIDAH</t>
  </si>
  <si>
    <t>MAGURA</t>
  </si>
  <si>
    <t>WATER-DHAKA</t>
  </si>
  <si>
    <t>BHALUKA</t>
  </si>
  <si>
    <t>DEPZ</t>
  </si>
  <si>
    <t>MANIKGANJ</t>
  </si>
  <si>
    <t>TONGI</t>
  </si>
  <si>
    <t>UTTARA</t>
  </si>
  <si>
    <t>JOYDEVPUR</t>
  </si>
  <si>
    <t>MIRPUR</t>
  </si>
  <si>
    <t>MODHUPUR</t>
  </si>
  <si>
    <t>JAMALPUR</t>
  </si>
  <si>
    <t>KISHOREGANJ</t>
  </si>
  <si>
    <t>KALIAKOIR</t>
  </si>
  <si>
    <t>SAVAR</t>
  </si>
  <si>
    <t>SAIDPUR</t>
  </si>
  <si>
    <t>DINAJPUR</t>
  </si>
  <si>
    <t>C. N. GANJ</t>
  </si>
  <si>
    <t>KURIGRAM</t>
  </si>
  <si>
    <t>NAOGAON</t>
  </si>
  <si>
    <t>SERAJGANJ</t>
  </si>
  <si>
    <t>GAIBANDHA</t>
  </si>
  <si>
    <t>JOYPURHAT</t>
  </si>
  <si>
    <t>PABNA</t>
  </si>
  <si>
    <t>NATORE</t>
  </si>
  <si>
    <t>BASHABO</t>
  </si>
  <si>
    <t>ADAMJEE</t>
  </si>
  <si>
    <t>NOWABGANJ</t>
  </si>
  <si>
    <t>GAUSIA</t>
  </si>
  <si>
    <t>BANCHARAMPUR</t>
  </si>
  <si>
    <t>SMT &amp; SHOPPING COMPLEX</t>
  </si>
  <si>
    <t>SREENAGAR</t>
  </si>
  <si>
    <t>MONOHORDI</t>
  </si>
  <si>
    <t>CHAKTAI</t>
  </si>
  <si>
    <t>KAPTAI</t>
  </si>
  <si>
    <t>SANDWIP</t>
  </si>
  <si>
    <t>RANGAMATI</t>
  </si>
  <si>
    <t>KHAGRACHARI</t>
  </si>
  <si>
    <t>ANWARA</t>
  </si>
  <si>
    <t>BANDARBAN</t>
  </si>
  <si>
    <t>CHAKARIA</t>
  </si>
  <si>
    <t>TEKNAF</t>
  </si>
  <si>
    <t>HAJIGANJ</t>
  </si>
  <si>
    <t>CHAUDDAGRAM</t>
  </si>
  <si>
    <t>COMILLA OUTER</t>
  </si>
  <si>
    <t>BARURA</t>
  </si>
  <si>
    <t>MATLAB</t>
  </si>
  <si>
    <t>LAXMIPUR</t>
  </si>
  <si>
    <t>MAIJDEE</t>
  </si>
  <si>
    <t>BASURHAT</t>
  </si>
  <si>
    <t>CHHAGOLNAIYA</t>
  </si>
  <si>
    <t>KANAIGHAT</t>
  </si>
  <si>
    <t>GOWAINGHAT</t>
  </si>
  <si>
    <t>CHHATAK</t>
  </si>
  <si>
    <t>BEANI BAZAR</t>
  </si>
  <si>
    <t>NABIGANJ</t>
  </si>
  <si>
    <t>KULAURA</t>
  </si>
  <si>
    <t>COMPANYGANJ</t>
  </si>
  <si>
    <t>RUPSHA</t>
  </si>
  <si>
    <t>TALA</t>
  </si>
  <si>
    <t>SHYAMNAGAR</t>
  </si>
  <si>
    <t>CHOWGACHA</t>
  </si>
  <si>
    <t>JHIKARGACHA</t>
  </si>
  <si>
    <t>NOAPARA</t>
  </si>
  <si>
    <t>TEKARHAT</t>
  </si>
  <si>
    <t>MONGLA</t>
  </si>
  <si>
    <t>PEROJPUR</t>
  </si>
  <si>
    <t>MATHBARIA</t>
  </si>
  <si>
    <t>BANARIPARA</t>
  </si>
  <si>
    <t>DAMUDYA</t>
  </si>
  <si>
    <t>SHARIATPUR</t>
  </si>
  <si>
    <t>Barguna</t>
  </si>
  <si>
    <t>GALACHIPA</t>
  </si>
  <si>
    <t>KHEPUPARA</t>
  </si>
  <si>
    <t>BORHANUDDIN</t>
  </si>
  <si>
    <t>CHARFASSION</t>
  </si>
  <si>
    <t>HATIYA</t>
  </si>
  <si>
    <t>DARSHANA</t>
  </si>
  <si>
    <t>MEHARPUR</t>
  </si>
  <si>
    <t>BHANGA</t>
  </si>
  <si>
    <t>RAJBARI</t>
  </si>
  <si>
    <t>KALIGANJ</t>
  </si>
  <si>
    <t>MODOKHALI</t>
  </si>
  <si>
    <t>BOALMARI</t>
  </si>
  <si>
    <t>MULADI</t>
  </si>
  <si>
    <t>TORKI</t>
  </si>
  <si>
    <t>PATARHAT</t>
  </si>
  <si>
    <t>PANGSHA</t>
  </si>
  <si>
    <t>BHERAMARA</t>
  </si>
  <si>
    <t>DAULOTPUR</t>
  </si>
  <si>
    <t>HALUAGHAT</t>
  </si>
  <si>
    <t>SHAMGANJ</t>
  </si>
  <si>
    <t>DHAMRAI</t>
  </si>
  <si>
    <t>Kapasia</t>
  </si>
  <si>
    <t>Mawna</t>
  </si>
  <si>
    <t>KALIHATI</t>
  </si>
  <si>
    <t>RAJIBPUR</t>
  </si>
  <si>
    <t>SHERPUR</t>
  </si>
  <si>
    <t>MOHONGANJ</t>
  </si>
  <si>
    <t>NETRAKONA</t>
  </si>
  <si>
    <t>SHAKHIPUR</t>
  </si>
  <si>
    <t>NILPHAMARI</t>
  </si>
  <si>
    <t>THAKURGAON</t>
  </si>
  <si>
    <t>PANCHAGARH</t>
  </si>
  <si>
    <t>Baneshwar</t>
  </si>
  <si>
    <t>Nowhata</t>
  </si>
  <si>
    <t>Godagari</t>
  </si>
  <si>
    <t>LALMONIRHAT</t>
  </si>
  <si>
    <t>HATIBANDHA</t>
  </si>
  <si>
    <t>NAZIPUR</t>
  </si>
  <si>
    <t>PROSHADPUR</t>
  </si>
  <si>
    <t>ULLAPARA</t>
  </si>
  <si>
    <t>BAMONDANGA</t>
  </si>
  <si>
    <t>GOBINDAGANJ</t>
  </si>
  <si>
    <t>BIRAMPUR</t>
  </si>
  <si>
    <t>BERA</t>
  </si>
  <si>
    <t>KASHINATHPUR</t>
  </si>
  <si>
    <t>GURUDASPUR</t>
  </si>
  <si>
    <t>ISHURDI</t>
  </si>
  <si>
    <t>TEBUNIA</t>
  </si>
  <si>
    <t>AREA</t>
  </si>
  <si>
    <t>TERRITORY</t>
  </si>
  <si>
    <t>TOWN</t>
  </si>
  <si>
    <t>FSE</t>
  </si>
  <si>
    <t>SO</t>
  </si>
  <si>
    <t>SSO</t>
  </si>
  <si>
    <t>JSO</t>
  </si>
  <si>
    <t>ACCOUNTS</t>
  </si>
  <si>
    <t>WS SSO</t>
  </si>
  <si>
    <t>FEMALE SO</t>
  </si>
  <si>
    <t>FEMALE SSO</t>
  </si>
  <si>
    <t>CS SSO</t>
  </si>
  <si>
    <t>CS SO</t>
  </si>
  <si>
    <t>PRO</t>
  </si>
  <si>
    <t>FEMALE J. M.</t>
  </si>
  <si>
    <t>FEMALE S. M.</t>
  </si>
  <si>
    <t>MALE J. M.</t>
  </si>
  <si>
    <t>MALE S.M.</t>
  </si>
  <si>
    <t>MANAGER OPS</t>
  </si>
  <si>
    <t>MANAGER ADMIN</t>
  </si>
  <si>
    <t>ASS. MANAGER</t>
  </si>
  <si>
    <t>FEMALE AC. EX.</t>
  </si>
  <si>
    <t>FEMALE CO</t>
  </si>
  <si>
    <t>MALE AC. EX.</t>
  </si>
  <si>
    <t>PRO [HOUSE]</t>
  </si>
  <si>
    <t>MALE CO</t>
  </si>
  <si>
    <t>HSC</t>
  </si>
  <si>
    <t>SSC</t>
  </si>
  <si>
    <t>Below SSC</t>
  </si>
  <si>
    <t>BBA</t>
  </si>
  <si>
    <t>MA</t>
  </si>
  <si>
    <t>BBS</t>
  </si>
  <si>
    <t>B.SC</t>
  </si>
  <si>
    <t>BA</t>
  </si>
  <si>
    <t>BSS</t>
  </si>
  <si>
    <t>MBA</t>
  </si>
  <si>
    <t>AB-(NEGATIVE)</t>
  </si>
  <si>
    <t>A+(POSITIVE)</t>
  </si>
  <si>
    <t>A-(NEGATIVE)</t>
  </si>
  <si>
    <t>AB+(POSITIVE)</t>
  </si>
  <si>
    <t>O+(POSITIVE)</t>
  </si>
  <si>
    <t>B+(POSITIVE)</t>
  </si>
  <si>
    <t>O-(NEGATIVE)</t>
  </si>
  <si>
    <t>B-(NEGATIVE)</t>
  </si>
  <si>
    <t>BROTHER</t>
  </si>
  <si>
    <t>FATHER</t>
  </si>
  <si>
    <t>WIFE</t>
  </si>
  <si>
    <t>MOTHER</t>
  </si>
  <si>
    <t>SISTER</t>
  </si>
  <si>
    <t>SON</t>
  </si>
  <si>
    <t>DAUGHTER</t>
  </si>
  <si>
    <t>HUSBAND</t>
  </si>
  <si>
    <t>UNCLE</t>
  </si>
  <si>
    <t>AUNTY</t>
  </si>
  <si>
    <t>PERFORMANCE ISSUE</t>
  </si>
  <si>
    <t>ETHICAL ISSUE</t>
  </si>
  <si>
    <t>BEHAVIOR ISSUE</t>
  </si>
  <si>
    <t>FAMILY ISSUE</t>
  </si>
  <si>
    <t>BETTER OPPORTUNITY</t>
  </si>
  <si>
    <t>PHYSICAL INABILITY</t>
  </si>
  <si>
    <t>DISCIPLINE ISSUE</t>
  </si>
  <si>
    <t>GOING ABROAD</t>
  </si>
  <si>
    <t>ATTENDANCE ISSUE</t>
  </si>
  <si>
    <t>COMPLIANCE ISSUE</t>
  </si>
  <si>
    <t>MARKET MANIPULATION</t>
  </si>
  <si>
    <t>TRADE GIFT OR PAYMENT MISAPPROPRIATION</t>
  </si>
  <si>
    <t>SALES WITH OUTSIDE THE PARTY WITH COMMISSION</t>
  </si>
  <si>
    <t>AFTER DELIVERY SHORTAGE</t>
  </si>
  <si>
    <t>PERSONAL ISSUE</t>
  </si>
  <si>
    <t>BETTAR OPPORTUNITY</t>
  </si>
  <si>
    <t>B.COM</t>
  </si>
  <si>
    <t>WK</t>
  </si>
  <si>
    <t>ASS. WK</t>
  </si>
  <si>
    <t>POOL SO</t>
  </si>
  <si>
    <t>POOL JSO</t>
  </si>
  <si>
    <t>DESIGNATION</t>
  </si>
  <si>
    <t xml:space="preserve">EDUCATION </t>
  </si>
  <si>
    <t>BELOW SSC</t>
  </si>
  <si>
    <t>BLOOD</t>
  </si>
  <si>
    <t>RELATION</t>
  </si>
  <si>
    <t>REASON</t>
  </si>
  <si>
    <t>BASABO</t>
  </si>
  <si>
    <t>DARUSSALAM</t>
  </si>
  <si>
    <t>MLIBAGH</t>
  </si>
  <si>
    <t>GRADE-1</t>
  </si>
  <si>
    <t>GRADE-2</t>
  </si>
  <si>
    <t>GRADE-3</t>
  </si>
  <si>
    <t>ARAIHAZAR</t>
  </si>
  <si>
    <t>ZINJIRA</t>
  </si>
  <si>
    <t>BELABO</t>
  </si>
  <si>
    <t>CENTRAL SOUTH</t>
  </si>
  <si>
    <t>FATULLAH</t>
  </si>
  <si>
    <t>CENTRAL NORTH</t>
  </si>
  <si>
    <t>MOHANGANJ</t>
  </si>
  <si>
    <t>MAWNA</t>
  </si>
  <si>
    <t>KAPASIA</t>
  </si>
  <si>
    <t>PPRO [HOUSE]</t>
  </si>
  <si>
    <t>SARISHABARI</t>
  </si>
  <si>
    <t>GRADE-4</t>
  </si>
  <si>
    <t>FEMALE ACCOUNTS</t>
  </si>
  <si>
    <t>NOWHATA</t>
  </si>
  <si>
    <t>ROHONPUR</t>
  </si>
  <si>
    <t>GODAGARI</t>
  </si>
  <si>
    <t>KHALISHPUR</t>
  </si>
  <si>
    <t>KALAROA</t>
  </si>
  <si>
    <t>MANIRAMPUR</t>
  </si>
  <si>
    <t>BAKERGANJ</t>
  </si>
  <si>
    <t>BARGUNA</t>
  </si>
  <si>
    <t>NESARABAD</t>
  </si>
  <si>
    <t>DAULATPUR</t>
  </si>
  <si>
    <t>MADHUKHALI</t>
  </si>
  <si>
    <t>SHIBCHAR</t>
  </si>
  <si>
    <t>COXS BAZAR</t>
  </si>
  <si>
    <t>KERANIHAT</t>
  </si>
  <si>
    <t>MURADPUR</t>
  </si>
  <si>
    <t>COMILLA METRO</t>
  </si>
  <si>
    <t>ALEXANDER</t>
  </si>
  <si>
    <t>KORERHAT</t>
  </si>
  <si>
    <t>ZAKIGANJ</t>
  </si>
  <si>
    <t>FEMALE AC. Ex.</t>
  </si>
  <si>
    <t>MALE AC. Ex.</t>
  </si>
  <si>
    <t>PPO</t>
  </si>
  <si>
    <t>PDO</t>
  </si>
  <si>
    <t>GRADE</t>
  </si>
  <si>
    <t>DHAKA NORTH SALES AREA</t>
  </si>
  <si>
    <t>DHAKA METRO SOUTH SALES AREA</t>
  </si>
  <si>
    <t>DHAKA METRO NORTH SALES AREA</t>
  </si>
  <si>
    <t>PALLABI</t>
  </si>
  <si>
    <t>NARAYANGANJ SALES AREA</t>
  </si>
  <si>
    <t>KARANIGONJ</t>
  </si>
  <si>
    <t>MODERN TRADE SALES AREA</t>
  </si>
  <si>
    <t>SMT &amp; SC</t>
  </si>
  <si>
    <t>KHULNA SALES AREA</t>
  </si>
  <si>
    <t>SATKHIRA</t>
  </si>
  <si>
    <t>BARISAL SALES AREA</t>
  </si>
  <si>
    <t>KUSHTIA SALES AREA</t>
  </si>
  <si>
    <t>RAJSHAHI SALES AREA</t>
  </si>
  <si>
    <t>BANESHOR</t>
  </si>
  <si>
    <t>BOGRA SALES AREA</t>
  </si>
  <si>
    <t>DHUPCHACHIYA</t>
  </si>
  <si>
    <t>CHANDAIKONA</t>
  </si>
  <si>
    <t>RANGPUR SALES AREA</t>
  </si>
  <si>
    <t>SHOTHIBARI</t>
  </si>
  <si>
    <t>NAGESHWARI</t>
  </si>
  <si>
    <t>DEBIGANJ</t>
  </si>
  <si>
    <t>CHITTAGONG SALES AREA</t>
  </si>
  <si>
    <t>FENI SALES AREA</t>
  </si>
  <si>
    <t>CHHAGALNAIYA</t>
  </si>
  <si>
    <t>CUMILLA SALES AREA</t>
  </si>
  <si>
    <t>SAVAR SALES AREA</t>
  </si>
  <si>
    <t>MYMENSINGH SALES AREA</t>
  </si>
  <si>
    <t>TANGAIL SALES AREA</t>
  </si>
  <si>
    <t>SYLHET SALES AREA</t>
  </si>
  <si>
    <t>NARSINGDHI SALES AREA</t>
  </si>
  <si>
    <t>BCOM</t>
  </si>
  <si>
    <t>BSC</t>
  </si>
  <si>
    <t>MSC</t>
  </si>
  <si>
    <t>MSS</t>
  </si>
  <si>
    <t>D06</t>
  </si>
  <si>
    <t>D09</t>
  </si>
  <si>
    <t>D47</t>
  </si>
  <si>
    <t>D10</t>
  </si>
  <si>
    <t>D62</t>
  </si>
  <si>
    <t>D07</t>
  </si>
  <si>
    <t>D16</t>
  </si>
  <si>
    <t>D64</t>
  </si>
  <si>
    <t>D13</t>
  </si>
  <si>
    <t>D19</t>
  </si>
  <si>
    <t>D12</t>
  </si>
  <si>
    <t>D11</t>
  </si>
  <si>
    <t>D53</t>
  </si>
  <si>
    <t>D14</t>
  </si>
  <si>
    <t>D54</t>
  </si>
  <si>
    <t>D15</t>
  </si>
  <si>
    <t>C56</t>
  </si>
  <si>
    <t>MAN-OPS</t>
  </si>
  <si>
    <t>Total</t>
  </si>
  <si>
    <t>Tgt vs Ach</t>
  </si>
  <si>
    <t>POOL</t>
  </si>
  <si>
    <t>Database</t>
  </si>
  <si>
    <t xml:space="preserve">HSC </t>
  </si>
  <si>
    <t>O+(positive)</t>
  </si>
  <si>
    <t>NID</t>
  </si>
  <si>
    <t>B+(positive)</t>
  </si>
  <si>
    <t>AB+(Positive)</t>
  </si>
  <si>
    <t>Birth Certificate</t>
  </si>
  <si>
    <t>BIRTH CERTIFICATE</t>
  </si>
  <si>
    <t>AB-(negative)</t>
  </si>
  <si>
    <t>O-(negative)</t>
  </si>
  <si>
    <t>A-(negative)</t>
  </si>
  <si>
    <t>O+ (Positive)</t>
  </si>
  <si>
    <t>Promoted To JSO From JSO Pool</t>
  </si>
  <si>
    <t>Promoted To SO From SO Pool</t>
  </si>
  <si>
    <t>Move to Pool SO from SO</t>
  </si>
  <si>
    <t>0+(POSITIVE)</t>
  </si>
  <si>
    <t>D55</t>
  </si>
  <si>
    <t>C17</t>
  </si>
  <si>
    <t>D57</t>
  </si>
  <si>
    <t>Promoted from Pool So to SSO (Previous he was a SSO)</t>
  </si>
  <si>
    <t>From Pool SO to JSO</t>
  </si>
  <si>
    <t>Promoted from Pool So to SO</t>
  </si>
  <si>
    <t>From Pool JSO to JSO</t>
  </si>
  <si>
    <t>From pool JSO to SO</t>
  </si>
  <si>
    <t>From Pool So to SO</t>
  </si>
  <si>
    <t>D56</t>
  </si>
  <si>
    <t>D31</t>
  </si>
  <si>
    <t>From SO to JSO</t>
  </si>
  <si>
    <t>From JSO to WK</t>
  </si>
  <si>
    <t>Promoted  to JSO to SO</t>
  </si>
  <si>
    <t>D38</t>
  </si>
  <si>
    <t>Promoted from JSO to SO</t>
  </si>
  <si>
    <t>Promoted from  Pool JSO to SO</t>
  </si>
  <si>
    <t>REGION</t>
  </si>
  <si>
    <t xml:space="preserve">TERRITORY </t>
  </si>
  <si>
    <t>SAP CODE</t>
  </si>
  <si>
    <t>EMPLOYEE NAME</t>
  </si>
  <si>
    <t>DATE OF BIRTH</t>
  </si>
  <si>
    <t>YEAR</t>
  </si>
  <si>
    <t>MONTH</t>
  </si>
  <si>
    <t>TENURE</t>
  </si>
  <si>
    <t>GENDER</t>
  </si>
  <si>
    <t>MARITIAL STATUS</t>
  </si>
  <si>
    <t>BLOOD GROUP</t>
  </si>
  <si>
    <t>REASON OF RESIGNATION &amp; TERMINATION</t>
  </si>
  <si>
    <t>TEAM</t>
  </si>
  <si>
    <t>TOWN [RFF]</t>
  </si>
  <si>
    <t xml:space="preserve">ID EMPLOYEE </t>
  </si>
  <si>
    <t>FF IDENTIFICATION  NUMBER</t>
  </si>
  <si>
    <t>FF CONTACT NUMBER</t>
  </si>
  <si>
    <t>FF DISABLITY</t>
  </si>
  <si>
    <t>REMARKS FOR EXIT FF</t>
  </si>
  <si>
    <t>FF IDENTIFICATION</t>
  </si>
  <si>
    <t xml:space="preserve">JOINING DATE IN CURRENT RFF DITRIBUTION </t>
  </si>
  <si>
    <t>SERVICE TIME IN PREVIOUS RFF DISTRIBUTION</t>
  </si>
  <si>
    <t>SERVICE TIME IN CURRENT RFF DISTRIBUTION</t>
  </si>
  <si>
    <t>TOTAL EXPERIENCE IN RFF BUSINESS</t>
  </si>
  <si>
    <t>CHALLENGER</t>
  </si>
  <si>
    <t>SALES OFFICER</t>
  </si>
  <si>
    <t>FBM</t>
  </si>
  <si>
    <t>DFBM</t>
  </si>
  <si>
    <t>DSR</t>
  </si>
  <si>
    <t>ACCOUNT</t>
  </si>
  <si>
    <t>STORE KEEPER</t>
  </si>
  <si>
    <t>DHAKA EAST</t>
  </si>
  <si>
    <t>DHAKA WEST</t>
  </si>
  <si>
    <t>GULSHAN</t>
  </si>
  <si>
    <t>DAKKHINKHAN</t>
  </si>
  <si>
    <t>SATARKUL</t>
  </si>
  <si>
    <t>M5449</t>
  </si>
  <si>
    <t>M2217</t>
  </si>
  <si>
    <t>M5332</t>
  </si>
  <si>
    <t>M2674</t>
  </si>
  <si>
    <t>M2957</t>
  </si>
  <si>
    <t>M3301</t>
  </si>
  <si>
    <t>M3880</t>
  </si>
  <si>
    <t>M5351</t>
  </si>
  <si>
    <t>M5648</t>
  </si>
  <si>
    <t>M5757</t>
  </si>
  <si>
    <t>M6959</t>
  </si>
  <si>
    <t>M7495</t>
  </si>
  <si>
    <t>M5917</t>
  </si>
  <si>
    <t>M7075</t>
  </si>
  <si>
    <t>M5774</t>
  </si>
  <si>
    <t>M7740</t>
  </si>
  <si>
    <t>M7945</t>
  </si>
  <si>
    <t>M7946</t>
  </si>
  <si>
    <t>M8218</t>
  </si>
  <si>
    <t>M8280</t>
  </si>
  <si>
    <t>M8384</t>
  </si>
  <si>
    <t>M7409</t>
  </si>
  <si>
    <t>M1847</t>
  </si>
  <si>
    <t>M1915</t>
  </si>
  <si>
    <t>M1992</t>
  </si>
  <si>
    <t>M2935</t>
  </si>
  <si>
    <t>M3769</t>
  </si>
  <si>
    <t>M3787</t>
  </si>
  <si>
    <t>M3869</t>
  </si>
  <si>
    <t>M4057</t>
  </si>
  <si>
    <t>M4318</t>
  </si>
  <si>
    <t>M4957</t>
  </si>
  <si>
    <t>M6139</t>
  </si>
  <si>
    <t>M6161</t>
  </si>
  <si>
    <t>M6209</t>
  </si>
  <si>
    <t>M4814</t>
  </si>
  <si>
    <t>M6443</t>
  </si>
  <si>
    <t>M7026</t>
  </si>
  <si>
    <t>M7028</t>
  </si>
  <si>
    <t>M7030</t>
  </si>
  <si>
    <t>M7031</t>
  </si>
  <si>
    <t>M7032</t>
  </si>
  <si>
    <t>M7033</t>
  </si>
  <si>
    <t>M7836</t>
  </si>
  <si>
    <t>M7401</t>
  </si>
  <si>
    <t>M5899</t>
  </si>
  <si>
    <t>M7299</t>
  </si>
  <si>
    <t>M6163</t>
  </si>
  <si>
    <t>M4713</t>
  </si>
  <si>
    <t>M4591</t>
  </si>
  <si>
    <t>M3881</t>
  </si>
  <si>
    <t>M5931</t>
  </si>
  <si>
    <t>M5933</t>
  </si>
  <si>
    <t>M7091</t>
  </si>
  <si>
    <t>M8375</t>
  </si>
  <si>
    <t>M1216</t>
  </si>
  <si>
    <t>M2458</t>
  </si>
  <si>
    <t>M3533</t>
  </si>
  <si>
    <t>M3804</t>
  </si>
  <si>
    <t>M4025</t>
  </si>
  <si>
    <t>M4697</t>
  </si>
  <si>
    <t>M4755</t>
  </si>
  <si>
    <t>M5329</t>
  </si>
  <si>
    <t>M6176</t>
  </si>
  <si>
    <t>M7188</t>
  </si>
  <si>
    <t>M7418</t>
  </si>
  <si>
    <t>M7430</t>
  </si>
  <si>
    <t>M7791</t>
  </si>
  <si>
    <t>M8160</t>
  </si>
  <si>
    <t>M8441</t>
  </si>
  <si>
    <t>M8361</t>
  </si>
  <si>
    <t>M2338</t>
  </si>
  <si>
    <t>MOHAMMAD SAMSUZZAMAN MOLLIK</t>
  </si>
  <si>
    <t>UJJAL CHANDRA DAS</t>
  </si>
  <si>
    <t>MD.SUJAN HOSSAIN</t>
  </si>
  <si>
    <t xml:space="preserve">MD. MAHADI HASAN NIPU </t>
  </si>
  <si>
    <t>MD. MAKBUL HOSSAIN</t>
  </si>
  <si>
    <t>SAIDUL RAHMAN</t>
  </si>
  <si>
    <t>MD. FAYSAL AHAMMED BAPPY</t>
  </si>
  <si>
    <t>MD. ROBIUL HASAN</t>
  </si>
  <si>
    <t>AUPU HOWLADER</t>
  </si>
  <si>
    <t>MD. JAHIDUL ISLAM</t>
  </si>
  <si>
    <t>MD. MONIRUL ISLAM</t>
  </si>
  <si>
    <t>HIMEL DHALI</t>
  </si>
  <si>
    <t>MD.JALAL UDDIN RUMI</t>
  </si>
  <si>
    <t>MD. RAKIBUL ISLAM</t>
  </si>
  <si>
    <t>MD. EMON HOSSAIN</t>
  </si>
  <si>
    <t>MD.BAIDUL</t>
  </si>
  <si>
    <t>MD ADOM ALI</t>
  </si>
  <si>
    <t>MD SHOFIKUL ISLAM</t>
  </si>
  <si>
    <t>MD. TUHIN</t>
  </si>
  <si>
    <t>MD.MONIRUL ISLAM</t>
  </si>
  <si>
    <t>MD.SHAHIN SAMAD SURJA</t>
  </si>
  <si>
    <t>ASIF MAHMUD</t>
  </si>
  <si>
    <t>MD. RAKIB</t>
  </si>
  <si>
    <t>MD. SHEIKH LABIB</t>
  </si>
  <si>
    <t>MD. ZIADUL ISLAM</t>
  </si>
  <si>
    <t>MD. SOHAG</t>
  </si>
  <si>
    <t>ABU BAKUR SIDDIK IRFAN</t>
  </si>
  <si>
    <t>MD. SAGIR HOSSEN</t>
  </si>
  <si>
    <t>MD. ABU NAYEM</t>
  </si>
  <si>
    <t>BARUN CHANDRA SHEEL</t>
  </si>
  <si>
    <t>MD. EMON MRIDA</t>
  </si>
  <si>
    <t>MAHBUBUL ALAM RAKIB</t>
  </si>
  <si>
    <t>MD. SAHED KHAN</t>
  </si>
  <si>
    <t>MST REHANA BEGUM</t>
  </si>
  <si>
    <t>MD. ABYED ULLAH</t>
  </si>
  <si>
    <t>SAMID KHAN RAFI</t>
  </si>
  <si>
    <t>SHARIFUL ISLAM</t>
  </si>
  <si>
    <t>MD. SIDDIKUR RAHMAN</t>
  </si>
  <si>
    <t>MD. RONY BASHAR</t>
  </si>
  <si>
    <t>MD. JUYEL MIA</t>
  </si>
  <si>
    <t>MD. ROBIUL KHALIFA</t>
  </si>
  <si>
    <t>MD. ABU SIDDIK</t>
  </si>
  <si>
    <t>MD. RAJIB HASAN</t>
  </si>
  <si>
    <t>MD. GIASH UDDIN</t>
  </si>
  <si>
    <t>MD. RONY MIA</t>
  </si>
  <si>
    <t>MD. AKRAMUL HAQUE</t>
  </si>
  <si>
    <t>MD. SUJON MIA</t>
  </si>
  <si>
    <t>SAKIB HAWLADER</t>
  </si>
  <si>
    <t>MD. SAIDUR RAHMAN</t>
  </si>
  <si>
    <t>ABU SUFIAN</t>
  </si>
  <si>
    <t>MD. RASEL</t>
  </si>
  <si>
    <t>MD. MOJAMMEL</t>
  </si>
  <si>
    <t>MD. EMON ALI</t>
  </si>
  <si>
    <t>MD. MURAD HASSAN</t>
  </si>
  <si>
    <t>MD. LEMON HOSSAIN</t>
  </si>
  <si>
    <t>MD. ASRAFUL ISLAM</t>
  </si>
  <si>
    <t>SHAHIN ISLAM</t>
  </si>
  <si>
    <t>REZWAN UL ISLAM RAYHAN</t>
  </si>
  <si>
    <t>MD. NAZRUL SIKDER</t>
  </si>
  <si>
    <t>FAYSAL AHMED</t>
  </si>
  <si>
    <t>KAZI FAISAL AHMED</t>
  </si>
  <si>
    <t>YEASIN HOSSAIN</t>
  </si>
  <si>
    <t>MD. MIRAJ HOSSAIN</t>
  </si>
  <si>
    <t>MD. JINNA ALI</t>
  </si>
  <si>
    <t>MD. EMON</t>
  </si>
  <si>
    <t>SAYED SHADHIN</t>
  </si>
  <si>
    <t>MD. MARUF SIDDIQUE RABBI</t>
  </si>
  <si>
    <t>NAYEEM HOSSAIN</t>
  </si>
  <si>
    <t>FAJLA RABBI</t>
  </si>
  <si>
    <t>MD. MIZANUR RAHMAN</t>
  </si>
  <si>
    <t>ASD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</si>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</sst>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[$-409]dd\-mmm\-yy;@"/>
  </numFmts>
  <fonts count="16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theme="1"/>
      <name val="Unilever Shilling"/>
      <family val="2"/>
    </font>
    <font>
      <b/>
      <sz val="7"/>
      <color theme="0"/>
      <name val="Unilever Shilling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theme="0"/>
      <name val="Calibri"/>
      <family val="2"/>
    </font>
    <font>
      <sz val="8"/>
      <color theme="1"/>
      <name val="Unilever Shilling"/>
    </font>
    <font>
      <sz val="8"/>
      <name val="Unilever Shilling"/>
    </font>
    <font>
      <sz val="8"/>
      <name val="Calibri"/>
      <family val="2"/>
      <scheme val="minor"/>
    </font>
    <font>
      <b/>
      <sz val="8"/>
      <color theme="0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206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rgb="FF004846"/>
      </right>
      <top style="medium">
        <color indexed="64"/>
      </top>
      <bottom style="hair">
        <color rgb="FF004846"/>
      </bottom>
      <diagonal/>
    </border>
    <border>
      <left style="hair">
        <color rgb="FF004846"/>
      </left>
      <right style="hair">
        <color rgb="FF004846"/>
      </right>
      <top style="medium">
        <color indexed="64"/>
      </top>
      <bottom style="hair">
        <color rgb="FF004846"/>
      </bottom>
      <diagonal/>
    </border>
    <border>
      <left style="hair">
        <color rgb="FF004846"/>
      </left>
      <right style="medium">
        <color indexed="64"/>
      </right>
      <top style="medium">
        <color indexed="64"/>
      </top>
      <bottom style="hair">
        <color rgb="FF004846"/>
      </bottom>
      <diagonal/>
    </border>
    <border>
      <left style="medium">
        <color indexed="64"/>
      </left>
      <right style="hair">
        <color rgb="FF004846"/>
      </right>
      <top style="hair">
        <color rgb="FF004846"/>
      </top>
      <bottom style="medium">
        <color indexed="64"/>
      </bottom>
      <diagonal/>
    </border>
    <border>
      <left style="hair">
        <color rgb="FF004846"/>
      </left>
      <right style="hair">
        <color rgb="FF004846"/>
      </right>
      <top style="hair">
        <color rgb="FF004846"/>
      </top>
      <bottom style="medium">
        <color indexed="64"/>
      </bottom>
      <diagonal/>
    </border>
    <border>
      <left style="hair">
        <color rgb="FF004846"/>
      </left>
      <right style="medium">
        <color indexed="64"/>
      </right>
      <top style="hair">
        <color rgb="FF004846"/>
      </top>
      <bottom style="medium">
        <color indexed="64"/>
      </bottom>
      <diagonal/>
    </border>
    <border>
      <left style="hair">
        <color rgb="FF004846"/>
      </left>
      <right style="hair">
        <color rgb="FF004846"/>
      </right>
      <top style="medium">
        <color indexed="64"/>
      </top>
      <bottom/>
      <diagonal/>
    </border>
    <border>
      <left style="hair">
        <color rgb="FF004846"/>
      </left>
      <right style="hair">
        <color rgb="FF004846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rgb="FF004846"/>
      </left>
      <right style="hair">
        <color rgb="FF004846"/>
      </right>
      <top style="hair">
        <color rgb="FF004846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5">
    <xf numFmtId="0" fontId="0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9" fontId="5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Protection="1"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Protection="1"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164" fontId="2" fillId="0" borderId="1" xfId="0" applyNumberFormat="1" applyFont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0" xfId="0" applyFont="1" applyAlignment="1">
      <alignment horizontal="center" vertical="center" wrapText="1"/>
    </xf>
    <xf numFmtId="0" fontId="0" fillId="3" borderId="0" xfId="0" applyFill="1" applyProtection="1">
      <protection hidden="1"/>
    </xf>
    <xf numFmtId="0" fontId="0" fillId="4" borderId="0" xfId="0" applyFill="1"/>
    <xf numFmtId="0" fontId="8" fillId="4" borderId="6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left"/>
    </xf>
    <xf numFmtId="0" fontId="7" fillId="4" borderId="5" xfId="0" applyFont="1" applyFill="1" applyBorder="1" applyAlignment="1">
      <alignment horizontal="left"/>
    </xf>
    <xf numFmtId="0" fontId="7" fillId="4" borderId="5" xfId="0" applyFont="1" applyFill="1" applyBorder="1"/>
    <xf numFmtId="0" fontId="7" fillId="4" borderId="5" xfId="0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12" fillId="4" borderId="0" xfId="0" applyFont="1" applyFill="1"/>
    <xf numFmtId="0" fontId="13" fillId="4" borderId="0" xfId="0" applyFont="1" applyFill="1"/>
    <xf numFmtId="0" fontId="0" fillId="3" borderId="0" xfId="0" applyFill="1"/>
    <xf numFmtId="0" fontId="9" fillId="0" borderId="0" xfId="0" applyFont="1" applyAlignment="1">
      <alignment horizontal="left" vertical="center"/>
    </xf>
    <xf numFmtId="0" fontId="0" fillId="5" borderId="0" xfId="0" applyFill="1"/>
    <xf numFmtId="0" fontId="9" fillId="0" borderId="5" xfId="0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14" fontId="9" fillId="0" borderId="5" xfId="0" applyNumberFormat="1" applyFont="1" applyBorder="1" applyAlignment="1">
      <alignment horizontal="center" vertical="center"/>
    </xf>
    <xf numFmtId="165" fontId="9" fillId="0" borderId="5" xfId="0" applyNumberFormat="1" applyFont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14" fontId="9" fillId="0" borderId="4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1" fontId="9" fillId="0" borderId="23" xfId="0" applyNumberFormat="1" applyFont="1" applyBorder="1" applyAlignment="1">
      <alignment horizontal="center" vertical="center"/>
    </xf>
    <xf numFmtId="1" fontId="9" fillId="0" borderId="23" xfId="14" applyNumberFormat="1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49" fontId="11" fillId="6" borderId="8" xfId="0" applyNumberFormat="1" applyFont="1" applyFill="1" applyBorder="1" applyAlignment="1">
      <alignment horizontal="center" vertical="center" wrapText="1"/>
    </xf>
    <xf numFmtId="49" fontId="11" fillId="6" borderId="11" xfId="0" applyNumberFormat="1" applyFont="1" applyFill="1" applyBorder="1" applyAlignment="1">
      <alignment horizontal="center" vertical="center" wrapText="1"/>
    </xf>
    <xf numFmtId="0" fontId="15" fillId="6" borderId="15" xfId="0" applyFont="1" applyFill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164" fontId="11" fillId="6" borderId="8" xfId="0" applyNumberFormat="1" applyFont="1" applyFill="1" applyBorder="1" applyAlignment="1">
      <alignment horizontal="center" vertical="center" wrapText="1"/>
    </xf>
    <xf numFmtId="164" fontId="11" fillId="6" borderId="24" xfId="0" applyNumberFormat="1" applyFont="1" applyFill="1" applyBorder="1" applyAlignment="1">
      <alignment horizontal="center" vertical="center" wrapText="1"/>
    </xf>
  </cellXfs>
  <cellStyles count="15">
    <cellStyle name="Comma" xfId="14" builtinId="3"/>
    <cellStyle name="Normal" xfId="0" builtinId="0"/>
    <cellStyle name="Normal 10" xfId="11" xr:uid="{B34C6CFB-F3FA-4B8B-ABFB-0D5FB3BE63EE}"/>
    <cellStyle name="Normal 11" xfId="7" xr:uid="{1AA7C1AD-9A2A-4A40-A0C3-79549E5B4AC1}"/>
    <cellStyle name="Normal 12" xfId="8" xr:uid="{DD768B22-3F8A-4BF0-AB87-7665C49B196C}"/>
    <cellStyle name="Normal 2" xfId="12" xr:uid="{A1062370-D01C-4FA2-963D-C958E89A9B5A}"/>
    <cellStyle name="Normal 3" xfId="2" xr:uid="{1945D5F6-8B08-4675-98B3-CDFD1ECC4717}"/>
    <cellStyle name="Normal 4" xfId="3" xr:uid="{7F272438-110C-4E35-BFDF-2315D44CEE53}"/>
    <cellStyle name="Normal 5" xfId="5" xr:uid="{73033298-6EBD-42F4-B847-72A679915790}"/>
    <cellStyle name="Normal 6" xfId="6" xr:uid="{A446A47E-9161-496A-BD43-734F1CEE46CA}"/>
    <cellStyle name="Normal 7" xfId="4" xr:uid="{90FEF582-93A4-4F9C-9771-A65837752543}"/>
    <cellStyle name="Normal 8" xfId="9" xr:uid="{7629D6FE-B107-4FDA-B47C-A37B0909954D}"/>
    <cellStyle name="Normal 9" xfId="10" xr:uid="{D63756BE-8D14-419A-83DF-E6F3D49A816D}"/>
    <cellStyle name="Percent 2" xfId="13" xr:uid="{18F65232-D3E8-4E66-BCA7-A22FD155AB84}"/>
    <cellStyle name="শতাংশ" xfId="1" xr:uid="{00000000-0005-0000-0000-000001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7171"/>
      <color rgb="FFFF6600"/>
      <color rgb="FF004846"/>
      <color rgb="FF007976"/>
      <color rgb="FF14EC38"/>
      <color rgb="FFFF3737"/>
      <color rgb="FF3BB33B"/>
      <color rgb="FFFF7C53"/>
      <color rgb="FF765700"/>
      <color rgb="FF009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ad\Desktop\New%20folder%20(2)\DFF%20DATABASE%20Update%20Aug'19__Mymensingh%20Are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wnload\DFF%20DATABASE%20NOVEMBER'2019_SYLHET%20ARE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M\AppData\Local\Temp\DFF%20DATABSE%20APRIL'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M\AppData\Local\Temp\DFF%20DATABASE%20June'19%20(Jatrabari%20&amp;%20Gausia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M\AppData\Local\Temp\DFF%20DATABSE%20APRIL'19%20-Karaniganj%20&amp;%20Nowabganj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DATABASE"/>
      <sheetName val="JBP Wise DFF"/>
      <sheetName val="Exit DFF Performance"/>
      <sheetName val="Sheet2"/>
      <sheetName val="Don't Delete"/>
    </sheetNames>
    <sheetDataSet>
      <sheetData sheetId="0" refreshError="1"/>
      <sheetData sheetId="1" refreshError="1"/>
      <sheetData sheetId="2" refreshError="1"/>
      <sheetData sheetId="3">
        <row r="2">
          <cell r="F2" t="str">
            <v>O+(POSITIVE)</v>
          </cell>
        </row>
        <row r="3">
          <cell r="F3" t="str">
            <v>AB-(NEGATIVE)</v>
          </cell>
        </row>
        <row r="4">
          <cell r="F4" t="str">
            <v>A+(POSITIVE)</v>
          </cell>
        </row>
        <row r="5">
          <cell r="F5" t="str">
            <v>B+(POSITIVE)</v>
          </cell>
        </row>
        <row r="6">
          <cell r="F6" t="str">
            <v>A-(NEGATIVE)</v>
          </cell>
        </row>
        <row r="7">
          <cell r="F7" t="str">
            <v>AB+(POSITIVE)</v>
          </cell>
        </row>
        <row r="8">
          <cell r="F8" t="str">
            <v>O-(NEGATIVE)</v>
          </cell>
        </row>
        <row r="9">
          <cell r="F9" t="str">
            <v>B-(NEGATIVE)</v>
          </cell>
        </row>
      </sheetData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DATABASE"/>
      <sheetName val="Sheet2"/>
      <sheetName val="JBP Wise DFF"/>
      <sheetName val="Exit DFF Performance"/>
    </sheetNames>
    <sheetDataSet>
      <sheetData sheetId="0" refreshError="1"/>
      <sheetData sheetId="1">
        <row r="2">
          <cell r="C2" t="str">
            <v>TEJGAON</v>
          </cell>
        </row>
        <row r="3">
          <cell r="C3" t="str">
            <v>MALIBAGH</v>
          </cell>
        </row>
        <row r="4">
          <cell r="C4" t="str">
            <v>BASABO</v>
          </cell>
        </row>
        <row r="5">
          <cell r="C5" t="str">
            <v>BOSHUNDHARA</v>
          </cell>
        </row>
        <row r="6">
          <cell r="C6" t="str">
            <v>MOHAMMADPUR</v>
          </cell>
        </row>
        <row r="7">
          <cell r="C7" t="str">
            <v>DARUSSALAM</v>
          </cell>
        </row>
        <row r="8">
          <cell r="C8" t="str">
            <v>WARI</v>
          </cell>
        </row>
        <row r="9">
          <cell r="C9" t="str">
            <v>CHANKHERPOOL</v>
          </cell>
        </row>
        <row r="10">
          <cell r="C10" t="str">
            <v>NARAYANGANJ</v>
          </cell>
        </row>
        <row r="11">
          <cell r="C11" t="str">
            <v>ADAMJEE</v>
          </cell>
        </row>
        <row r="12">
          <cell r="C12" t="str">
            <v>KARANIGANJ</v>
          </cell>
        </row>
        <row r="13">
          <cell r="C13" t="str">
            <v>NOWABGANJ</v>
          </cell>
        </row>
        <row r="14">
          <cell r="C14" t="str">
            <v>MUNSHIGANJ</v>
          </cell>
        </row>
        <row r="15">
          <cell r="C15" t="str">
            <v>SREENAGAR</v>
          </cell>
        </row>
        <row r="16">
          <cell r="C16" t="str">
            <v>JATRABARI</v>
          </cell>
        </row>
        <row r="17">
          <cell r="C17" t="str">
            <v>SONARGAON</v>
          </cell>
        </row>
        <row r="18">
          <cell r="C18" t="str">
            <v>DAUDKANDI</v>
          </cell>
        </row>
        <row r="19">
          <cell r="C19" t="str">
            <v>BANCHARAMPUR</v>
          </cell>
        </row>
        <row r="20">
          <cell r="C20" t="str">
            <v>NARSINGDHI</v>
          </cell>
        </row>
        <row r="21">
          <cell r="C21" t="str">
            <v>MONOHORDI</v>
          </cell>
        </row>
        <row r="22">
          <cell r="C22" t="str">
            <v>GHORASAL</v>
          </cell>
        </row>
        <row r="23">
          <cell r="C23" t="str">
            <v>GAUSIA</v>
          </cell>
        </row>
        <row r="24">
          <cell r="C24" t="str">
            <v>SHOPPING COMPLEX</v>
          </cell>
        </row>
      </sheetData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DATABASE"/>
      <sheetName val="JBP Wise DFF"/>
      <sheetName val="Sheet2"/>
      <sheetName val="LONG TIME SERVICE DATA"/>
    </sheetNames>
    <sheetDataSet>
      <sheetData sheetId="0" refreshError="1"/>
      <sheetData sheetId="1" refreshError="1"/>
      <sheetData sheetId="2">
        <row r="2">
          <cell r="A2" t="str">
            <v>NARAYANGANJ</v>
          </cell>
          <cell r="B2" t="str">
            <v>NARAYANGANJ</v>
          </cell>
          <cell r="C2" t="str">
            <v>TEJGAON</v>
          </cell>
          <cell r="E2" t="str">
            <v>BELOW SSC</v>
          </cell>
        </row>
        <row r="3">
          <cell r="A3" t="str">
            <v>NARSINGDHI</v>
          </cell>
          <cell r="B3" t="str">
            <v>DAUDKANDI</v>
          </cell>
          <cell r="C3" t="str">
            <v>MALIBAGH</v>
          </cell>
          <cell r="E3" t="str">
            <v>SSC</v>
          </cell>
        </row>
        <row r="4">
          <cell r="A4" t="str">
            <v>DHAKA SOUTH</v>
          </cell>
          <cell r="B4" t="str">
            <v>MLIBAGH</v>
          </cell>
          <cell r="C4" t="str">
            <v>BASABO</v>
          </cell>
          <cell r="E4" t="str">
            <v>HSC</v>
          </cell>
        </row>
        <row r="5">
          <cell r="B5" t="str">
            <v>BOSHUNDHARA</v>
          </cell>
          <cell r="C5" t="str">
            <v>BOSHUNDHARA</v>
          </cell>
          <cell r="E5" t="str">
            <v>BBA</v>
          </cell>
        </row>
        <row r="6">
          <cell r="B6" t="str">
            <v>CHANKHERPOOL</v>
          </cell>
          <cell r="C6" t="str">
            <v>MOHAMMADPUR</v>
          </cell>
          <cell r="E6" t="str">
            <v>BA</v>
          </cell>
        </row>
        <row r="7">
          <cell r="B7" t="str">
            <v>DARUSSALAM</v>
          </cell>
          <cell r="C7" t="str">
            <v>DARUSSALAM</v>
          </cell>
          <cell r="E7" t="str">
            <v>BBS</v>
          </cell>
        </row>
        <row r="8">
          <cell r="B8" t="str">
            <v>GHORASAL</v>
          </cell>
          <cell r="C8" t="str">
            <v>WARI</v>
          </cell>
          <cell r="E8" t="str">
            <v>B.SC</v>
          </cell>
        </row>
        <row r="9">
          <cell r="B9" t="str">
            <v>JATRABARI</v>
          </cell>
          <cell r="C9" t="str">
            <v>CHANKHERPOOL</v>
          </cell>
          <cell r="E9" t="str">
            <v>BSS</v>
          </cell>
        </row>
        <row r="10">
          <cell r="B10" t="str">
            <v>KARANIGANJ</v>
          </cell>
          <cell r="C10" t="str">
            <v>NARAYANGANJ</v>
          </cell>
          <cell r="E10" t="str">
            <v>MA</v>
          </cell>
        </row>
        <row r="11">
          <cell r="B11" t="str">
            <v>MOHAMMADPUR</v>
          </cell>
          <cell r="C11" t="str">
            <v>ADAMJEE</v>
          </cell>
          <cell r="E11" t="str">
            <v>MBA</v>
          </cell>
        </row>
        <row r="12">
          <cell r="B12" t="str">
            <v>NARSINGDHI</v>
          </cell>
          <cell r="C12" t="str">
            <v>KARANIGANJ</v>
          </cell>
          <cell r="E12" t="str">
            <v>B.COM</v>
          </cell>
        </row>
        <row r="13">
          <cell r="B13" t="str">
            <v>MUNSHIGANJ</v>
          </cell>
          <cell r="C13" t="str">
            <v>NOWABGANJ</v>
          </cell>
        </row>
        <row r="14">
          <cell r="B14" t="str">
            <v>SONARGAON</v>
          </cell>
          <cell r="C14" t="str">
            <v>MUNSHIGANJ</v>
          </cell>
        </row>
        <row r="15">
          <cell r="B15" t="str">
            <v>TEJGAON</v>
          </cell>
          <cell r="C15" t="str">
            <v>SREENAGAR</v>
          </cell>
        </row>
        <row r="16">
          <cell r="B16" t="str">
            <v>WARI</v>
          </cell>
          <cell r="C16" t="str">
            <v>JATRABARI</v>
          </cell>
        </row>
        <row r="17">
          <cell r="C17" t="str">
            <v>SONARGAON</v>
          </cell>
        </row>
        <row r="18">
          <cell r="C18" t="str">
            <v>DAUDKANDI</v>
          </cell>
        </row>
        <row r="19">
          <cell r="C19" t="str">
            <v>BANCHARAMPUR</v>
          </cell>
        </row>
        <row r="20">
          <cell r="C20" t="str">
            <v>NARSINGDHI</v>
          </cell>
        </row>
        <row r="21">
          <cell r="C21" t="str">
            <v>MONOHORDI</v>
          </cell>
        </row>
        <row r="22">
          <cell r="C22" t="str">
            <v>GHORASAL</v>
          </cell>
        </row>
        <row r="23">
          <cell r="C23" t="str">
            <v>GAUSIA</v>
          </cell>
        </row>
        <row r="24">
          <cell r="C24" t="str">
            <v>SHOPPING COMPLEX</v>
          </cell>
        </row>
      </sheetData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DATABASE"/>
      <sheetName val="JBP Wise DFF"/>
      <sheetName val="Sheet2"/>
    </sheetNames>
    <sheetDataSet>
      <sheetData sheetId="0" refreshError="1"/>
      <sheetData sheetId="1" refreshError="1"/>
      <sheetData sheetId="2">
        <row r="2">
          <cell r="H2" t="str">
            <v>BEHAVIOR ISSUE</v>
          </cell>
        </row>
        <row r="3">
          <cell r="H3" t="str">
            <v>PERFORMANCE ISSUE</v>
          </cell>
        </row>
        <row r="4">
          <cell r="H4" t="str">
            <v>BEHAVIOR ISSUE</v>
          </cell>
        </row>
        <row r="5">
          <cell r="H5" t="str">
            <v>FAMILY ISSUE</v>
          </cell>
        </row>
        <row r="6">
          <cell r="H6" t="str">
            <v>BETTER OPPORTUNITY</v>
          </cell>
        </row>
        <row r="7">
          <cell r="H7" t="str">
            <v>PHYSICAL INABILITY</v>
          </cell>
        </row>
        <row r="8">
          <cell r="H8" t="str">
            <v>DISCIPLINE ISSUE</v>
          </cell>
        </row>
        <row r="9">
          <cell r="H9" t="str">
            <v>GOING ABROAD</v>
          </cell>
        </row>
        <row r="10">
          <cell r="H10" t="str">
            <v>ETHICAL ISSUE</v>
          </cell>
        </row>
        <row r="11">
          <cell r="H11" t="str">
            <v>ATTENDANCE ISSUE</v>
          </cell>
        </row>
        <row r="12">
          <cell r="H12" t="str">
            <v>COMPLIANCE ISSUE</v>
          </cell>
        </row>
        <row r="13">
          <cell r="H13" t="str">
            <v>MARKET MANIPULATION</v>
          </cell>
        </row>
        <row r="14">
          <cell r="H14" t="str">
            <v>TRADE GIFT OR PAYMENT MISAPPROPRIATION</v>
          </cell>
        </row>
        <row r="15">
          <cell r="H15" t="str">
            <v>SALES WITH OUTSIDE THE PARTY WITH COMMISSION</v>
          </cell>
        </row>
        <row r="16">
          <cell r="H16" t="str">
            <v>AFTER DELIVERY SHORTAGE</v>
          </cell>
        </row>
        <row r="17">
          <cell r="H17" t="str">
            <v>PERSONAL ISSUE</v>
          </cell>
        </row>
        <row r="18">
          <cell r="H18" t="str">
            <v>BETTAR OPPORTUNITY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DATABASE"/>
      <sheetName val="JBP Wise DFF"/>
      <sheetName val="Sheet2"/>
      <sheetName val="LONG TIME SERVICE DATA"/>
    </sheetNames>
    <sheetDataSet>
      <sheetData sheetId="0"/>
      <sheetData sheetId="1"/>
      <sheetData sheetId="2">
        <row r="2">
          <cell r="B2" t="str">
            <v>NARAYANGANJ</v>
          </cell>
          <cell r="C2" t="str">
            <v>TEJGAON</v>
          </cell>
          <cell r="D2" t="str">
            <v>MANAGER OPS</v>
          </cell>
          <cell r="E2" t="str">
            <v>BELOW SSC</v>
          </cell>
          <cell r="H2" t="str">
            <v>BEHAVIOR ISSUE</v>
          </cell>
        </row>
        <row r="3">
          <cell r="B3" t="str">
            <v>DAUDKANDI</v>
          </cell>
          <cell r="C3" t="str">
            <v>MALIBAGH</v>
          </cell>
          <cell r="D3" t="str">
            <v>ACCOUNTS</v>
          </cell>
          <cell r="E3" t="str">
            <v>SSC</v>
          </cell>
          <cell r="H3" t="str">
            <v>PERFORMANCE ISSUE</v>
          </cell>
        </row>
        <row r="4">
          <cell r="B4" t="str">
            <v>MLIBAGH</v>
          </cell>
          <cell r="C4" t="str">
            <v>BASABO</v>
          </cell>
          <cell r="D4" t="str">
            <v>MANAGER ADMIN</v>
          </cell>
          <cell r="E4" t="str">
            <v>HSC</v>
          </cell>
          <cell r="H4" t="str">
            <v>BEHAVIOR ISSUE</v>
          </cell>
        </row>
        <row r="5">
          <cell r="B5" t="str">
            <v>BOSHUNDHARA</v>
          </cell>
          <cell r="C5" t="str">
            <v>BOSHUNDHARA</v>
          </cell>
          <cell r="D5" t="str">
            <v>ASS. MANAGER</v>
          </cell>
          <cell r="E5" t="str">
            <v>BBA</v>
          </cell>
          <cell r="H5" t="str">
            <v>FAMILY ISSUE</v>
          </cell>
        </row>
        <row r="6">
          <cell r="B6" t="str">
            <v>CHANKHERPOOL</v>
          </cell>
          <cell r="C6" t="str">
            <v>MOHAMMADPUR</v>
          </cell>
          <cell r="D6" t="str">
            <v>CS SO</v>
          </cell>
          <cell r="E6" t="str">
            <v>BA</v>
          </cell>
          <cell r="H6" t="str">
            <v>BETTER OPPORTUNITY</v>
          </cell>
        </row>
        <row r="7">
          <cell r="B7" t="str">
            <v>DARUSSALAM</v>
          </cell>
          <cell r="C7" t="str">
            <v>DARUSSALAM</v>
          </cell>
          <cell r="D7" t="str">
            <v>CS SSO</v>
          </cell>
          <cell r="E7" t="str">
            <v>BBS</v>
          </cell>
          <cell r="H7" t="str">
            <v>PHYSICAL INABILITY</v>
          </cell>
        </row>
        <row r="8">
          <cell r="B8" t="str">
            <v>GHORASAL</v>
          </cell>
          <cell r="C8" t="str">
            <v>WARI</v>
          </cell>
          <cell r="D8" t="str">
            <v>FEMALE AC. EX.</v>
          </cell>
          <cell r="E8" t="str">
            <v>B.SC</v>
          </cell>
          <cell r="H8" t="str">
            <v>DISCIPLINE ISSUE</v>
          </cell>
        </row>
        <row r="9">
          <cell r="B9" t="str">
            <v>JATRABARI</v>
          </cell>
          <cell r="C9" t="str">
            <v>CHANKHERPOOL</v>
          </cell>
          <cell r="D9" t="str">
            <v>FEMALE CO</v>
          </cell>
          <cell r="E9" t="str">
            <v>BSS</v>
          </cell>
          <cell r="H9" t="str">
            <v>GOING ABROAD</v>
          </cell>
        </row>
        <row r="10">
          <cell r="B10" t="str">
            <v>KARANIGANJ</v>
          </cell>
          <cell r="C10" t="str">
            <v>NARAYANGANJ</v>
          </cell>
          <cell r="D10" t="str">
            <v>FEMALE J. M.</v>
          </cell>
          <cell r="E10" t="str">
            <v>MA</v>
          </cell>
          <cell r="H10" t="str">
            <v>ETHICAL ISSUE</v>
          </cell>
        </row>
        <row r="11">
          <cell r="B11" t="str">
            <v>MOHAMMADPUR</v>
          </cell>
          <cell r="C11" t="str">
            <v>ADAMJEE</v>
          </cell>
          <cell r="D11" t="str">
            <v>FEMALE S. M.</v>
          </cell>
          <cell r="E11" t="str">
            <v>MBA</v>
          </cell>
          <cell r="H11" t="str">
            <v>ATTENDANCE ISSUE</v>
          </cell>
        </row>
        <row r="12">
          <cell r="B12" t="str">
            <v>NARSINGDHI</v>
          </cell>
          <cell r="C12" t="str">
            <v>KARANIGANJ</v>
          </cell>
          <cell r="D12" t="str">
            <v>FEMALE SO</v>
          </cell>
          <cell r="E12" t="str">
            <v>B.COM</v>
          </cell>
          <cell r="H12" t="str">
            <v>COMPLIANCE ISSUE</v>
          </cell>
        </row>
        <row r="13">
          <cell r="B13" t="str">
            <v>MUNSHIGANJ</v>
          </cell>
          <cell r="C13" t="str">
            <v>NOWABGANJ</v>
          </cell>
          <cell r="D13" t="str">
            <v>FEMALE SSO</v>
          </cell>
          <cell r="H13" t="str">
            <v>MARKET MANIPULATION</v>
          </cell>
        </row>
        <row r="14">
          <cell r="B14" t="str">
            <v>SONARGAON</v>
          </cell>
          <cell r="C14" t="str">
            <v>MUNSHIGANJ</v>
          </cell>
          <cell r="D14" t="str">
            <v>FSE</v>
          </cell>
          <cell r="H14" t="str">
            <v>TRADE GIFT OR PAYMENT MISAPPROPRIATION</v>
          </cell>
        </row>
        <row r="15">
          <cell r="B15" t="str">
            <v>TEJGAON</v>
          </cell>
          <cell r="C15" t="str">
            <v>SREENAGAR</v>
          </cell>
          <cell r="D15" t="str">
            <v>JSO</v>
          </cell>
          <cell r="H15" t="str">
            <v>SALES WITH OUTSIDE THE PARTY WITH COMMISSION</v>
          </cell>
        </row>
        <row r="16">
          <cell r="B16" t="str">
            <v>WARI</v>
          </cell>
          <cell r="C16" t="str">
            <v>JATRABARI</v>
          </cell>
          <cell r="D16" t="str">
            <v>MALE AC. EX.</v>
          </cell>
          <cell r="H16" t="str">
            <v>AFTER DELIVERY SHORTAGE</v>
          </cell>
        </row>
        <row r="17">
          <cell r="C17" t="str">
            <v>SONARGAON</v>
          </cell>
          <cell r="D17" t="str">
            <v>MALE CO</v>
          </cell>
          <cell r="H17" t="str">
            <v>PERSONAL ISSUE</v>
          </cell>
        </row>
        <row r="18">
          <cell r="C18" t="str">
            <v>DAUDKANDI</v>
          </cell>
          <cell r="D18" t="str">
            <v>MALE J. M.</v>
          </cell>
          <cell r="H18" t="str">
            <v>BETTAR OPPORTUNITY</v>
          </cell>
        </row>
        <row r="19">
          <cell r="C19" t="str">
            <v>BANCHARAMPUR</v>
          </cell>
          <cell r="D19" t="str">
            <v>MALE S.M.</v>
          </cell>
        </row>
        <row r="20">
          <cell r="C20" t="str">
            <v>NARSINGDHI</v>
          </cell>
          <cell r="D20" t="str">
            <v>PRO [HOUSE]</v>
          </cell>
        </row>
        <row r="21">
          <cell r="C21" t="str">
            <v>MONOHORDI</v>
          </cell>
          <cell r="D21" t="str">
            <v>PRO</v>
          </cell>
        </row>
        <row r="22">
          <cell r="C22" t="str">
            <v>GHORASAL</v>
          </cell>
          <cell r="D22" t="str">
            <v>SO</v>
          </cell>
        </row>
        <row r="23">
          <cell r="C23" t="str">
            <v>GAUSIA</v>
          </cell>
          <cell r="D23" t="str">
            <v>SSO</v>
          </cell>
        </row>
        <row r="24">
          <cell r="C24" t="str">
            <v>SHOPPING COMPLEX</v>
          </cell>
          <cell r="D24" t="str">
            <v>WS SSO</v>
          </cell>
        </row>
        <row r="25">
          <cell r="D25" t="str">
            <v>WK</v>
          </cell>
        </row>
        <row r="26">
          <cell r="D26" t="str">
            <v>ASS. WK</v>
          </cell>
        </row>
        <row r="27">
          <cell r="D27" t="str">
            <v>POOL SO</v>
          </cell>
        </row>
        <row r="28">
          <cell r="D28" t="str">
            <v>POOL JSO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A6F32-AD78-4A25-BA9C-47C3BB64B222}">
  <dimension ref="B1:M194"/>
  <sheetViews>
    <sheetView zoomScale="90" zoomScaleNormal="90" workbookViewId="0">
      <selection activeCell="G14" sqref="G14:G33"/>
    </sheetView>
  </sheetViews>
  <sheetFormatPr defaultColWidth="9.28515625" defaultRowHeight="15"/>
  <cols>
    <col min="1" max="1" width="9.28515625" style="15"/>
    <col min="2" max="2" width="12.5703125" style="15" bestFit="1" customWidth="1"/>
    <col min="3" max="3" width="25.5703125" style="15" bestFit="1" customWidth="1"/>
    <col min="4" max="4" width="12.7109375" style="15" bestFit="1" customWidth="1"/>
    <col min="5" max="5" width="19.7109375" style="15" bestFit="1" customWidth="1"/>
    <col min="6" max="6" width="10.42578125" style="15" customWidth="1"/>
    <col min="7" max="7" width="18.28515625" style="24" bestFit="1" customWidth="1"/>
    <col min="8" max="8" width="9.28515625" style="24"/>
    <col min="9" max="9" width="12.42578125" style="24" customWidth="1"/>
    <col min="10" max="12" width="9.28515625" style="24"/>
    <col min="13" max="16384" width="9.28515625" style="15"/>
  </cols>
  <sheetData>
    <row r="1" spans="2:13" ht="15.75" thickBot="1"/>
    <row r="2" spans="2:13" ht="15.75" thickBot="1">
      <c r="C2" s="16" t="s">
        <v>190</v>
      </c>
      <c r="D2" s="16" t="s">
        <v>191</v>
      </c>
      <c r="E2" s="16" t="s">
        <v>192</v>
      </c>
      <c r="F2" s="16" t="s">
        <v>313</v>
      </c>
      <c r="J2" s="24" t="s">
        <v>230</v>
      </c>
    </row>
    <row r="3" spans="2:13">
      <c r="B3" s="17" t="s">
        <v>280</v>
      </c>
      <c r="C3" s="18" t="s">
        <v>314</v>
      </c>
      <c r="D3" s="18" t="s">
        <v>36</v>
      </c>
      <c r="E3" s="18" t="s">
        <v>36</v>
      </c>
      <c r="F3" s="18" t="s">
        <v>274</v>
      </c>
      <c r="G3" s="24" t="s">
        <v>209</v>
      </c>
      <c r="H3" s="24" t="s">
        <v>267</v>
      </c>
      <c r="J3" s="24" t="s">
        <v>232</v>
      </c>
    </row>
    <row r="4" spans="2:13">
      <c r="B4" s="18" t="s">
        <v>280</v>
      </c>
      <c r="C4" s="18" t="s">
        <v>315</v>
      </c>
      <c r="D4" s="18" t="s">
        <v>37</v>
      </c>
      <c r="E4" s="18" t="s">
        <v>37</v>
      </c>
      <c r="F4" s="18" t="s">
        <v>275</v>
      </c>
      <c r="G4" s="24" t="s">
        <v>208</v>
      </c>
      <c r="H4" s="24" t="s">
        <v>217</v>
      </c>
      <c r="J4" s="24" t="s">
        <v>227</v>
      </c>
    </row>
    <row r="5" spans="2:13">
      <c r="B5" s="18" t="s">
        <v>13</v>
      </c>
      <c r="C5" s="18" t="s">
        <v>316</v>
      </c>
      <c r="D5" s="18" t="s">
        <v>77</v>
      </c>
      <c r="E5" s="18" t="s">
        <v>77</v>
      </c>
      <c r="F5" s="19" t="s">
        <v>276</v>
      </c>
      <c r="G5" s="24" t="s">
        <v>193</v>
      </c>
      <c r="H5" s="24" t="s">
        <v>216</v>
      </c>
      <c r="J5" s="24" t="s">
        <v>228</v>
      </c>
      <c r="M5" s="24"/>
    </row>
    <row r="6" spans="2:13">
      <c r="B6" s="18" t="s">
        <v>22</v>
      </c>
      <c r="C6" s="18" t="s">
        <v>318</v>
      </c>
      <c r="D6" s="18" t="s">
        <v>25</v>
      </c>
      <c r="E6" s="18" t="s">
        <v>271</v>
      </c>
      <c r="F6" s="18" t="s">
        <v>288</v>
      </c>
      <c r="G6" s="24" t="s">
        <v>195</v>
      </c>
      <c r="H6" s="24" t="s">
        <v>223</v>
      </c>
      <c r="J6" s="24" t="s">
        <v>231</v>
      </c>
      <c r="M6" s="24"/>
    </row>
    <row r="7" spans="2:13">
      <c r="B7" s="18" t="s">
        <v>10</v>
      </c>
      <c r="C7" s="18" t="s">
        <v>320</v>
      </c>
      <c r="D7" s="18" t="s">
        <v>38</v>
      </c>
      <c r="E7" s="18" t="s">
        <v>38</v>
      </c>
      <c r="F7" s="19"/>
      <c r="G7" s="24" t="s">
        <v>198</v>
      </c>
      <c r="H7" s="24" t="s">
        <v>224</v>
      </c>
      <c r="J7" s="24" t="s">
        <v>233</v>
      </c>
      <c r="M7" s="24"/>
    </row>
    <row r="8" spans="2:13">
      <c r="B8" s="18" t="s">
        <v>282</v>
      </c>
      <c r="C8" s="18" t="s">
        <v>322</v>
      </c>
      <c r="D8" s="18" t="s">
        <v>30</v>
      </c>
      <c r="E8" s="18" t="s">
        <v>30</v>
      </c>
      <c r="G8" s="24" t="s">
        <v>200</v>
      </c>
      <c r="H8" s="24" t="s">
        <v>221</v>
      </c>
      <c r="J8" s="24" t="s">
        <v>229</v>
      </c>
      <c r="M8" s="24"/>
    </row>
    <row r="9" spans="2:13">
      <c r="B9" s="20" t="s">
        <v>12</v>
      </c>
      <c r="C9" s="18" t="s">
        <v>324</v>
      </c>
      <c r="D9" s="18" t="s">
        <v>39</v>
      </c>
      <c r="E9" s="18" t="s">
        <v>25</v>
      </c>
      <c r="G9" s="24" t="s">
        <v>201</v>
      </c>
      <c r="H9" s="24" t="s">
        <v>344</v>
      </c>
      <c r="J9" s="24" t="s">
        <v>226</v>
      </c>
      <c r="M9" s="24"/>
    </row>
    <row r="10" spans="2:13">
      <c r="C10" s="18" t="s">
        <v>325</v>
      </c>
      <c r="D10" s="18" t="s">
        <v>79</v>
      </c>
      <c r="E10" s="18" t="s">
        <v>39</v>
      </c>
      <c r="G10" s="24" t="s">
        <v>194</v>
      </c>
      <c r="H10" s="24" t="s">
        <v>219</v>
      </c>
      <c r="M10" s="24"/>
    </row>
    <row r="11" spans="2:13">
      <c r="B11" s="18"/>
      <c r="C11" s="18" t="s">
        <v>326</v>
      </c>
      <c r="D11" s="18" t="s">
        <v>27</v>
      </c>
      <c r="E11" s="18" t="s">
        <v>79</v>
      </c>
      <c r="G11" s="24" t="s">
        <v>202</v>
      </c>
      <c r="H11" s="24" t="s">
        <v>345</v>
      </c>
      <c r="M11" s="24"/>
    </row>
    <row r="12" spans="2:13">
      <c r="C12" s="18" t="s">
        <v>328</v>
      </c>
      <c r="D12" s="18" t="s">
        <v>272</v>
      </c>
      <c r="E12" s="18" t="s">
        <v>317</v>
      </c>
      <c r="G12" s="24" t="s">
        <v>199</v>
      </c>
      <c r="H12" s="24" t="s">
        <v>220</v>
      </c>
      <c r="M12" s="24"/>
    </row>
    <row r="13" spans="2:13">
      <c r="C13" s="18" t="s">
        <v>331</v>
      </c>
      <c r="D13" s="18" t="s">
        <v>28</v>
      </c>
      <c r="E13" s="18" t="s">
        <v>27</v>
      </c>
      <c r="G13" s="24" t="s">
        <v>263</v>
      </c>
      <c r="H13" s="24" t="s">
        <v>346</v>
      </c>
      <c r="M13" s="24"/>
    </row>
    <row r="14" spans="2:13">
      <c r="C14" s="18" t="s">
        <v>335</v>
      </c>
      <c r="D14" s="18" t="s">
        <v>96</v>
      </c>
      <c r="E14" s="18" t="s">
        <v>272</v>
      </c>
      <c r="G14" s="24" t="s">
        <v>196</v>
      </c>
      <c r="H14" s="24" t="s">
        <v>347</v>
      </c>
      <c r="M14" s="24"/>
    </row>
    <row r="15" spans="2:13">
      <c r="C15" s="18" t="s">
        <v>336</v>
      </c>
      <c r="D15" s="18" t="s">
        <v>35</v>
      </c>
      <c r="E15" s="18" t="s">
        <v>28</v>
      </c>
      <c r="G15" s="24" t="s">
        <v>264</v>
      </c>
      <c r="H15" s="24" t="s">
        <v>225</v>
      </c>
      <c r="M15" s="24"/>
    </row>
    <row r="16" spans="2:13">
      <c r="C16" s="18" t="s">
        <v>338</v>
      </c>
      <c r="D16" s="18" t="s">
        <v>29</v>
      </c>
      <c r="E16" s="18" t="s">
        <v>96</v>
      </c>
      <c r="G16" s="24" t="s">
        <v>203</v>
      </c>
      <c r="M16" s="24"/>
    </row>
    <row r="17" spans="3:13">
      <c r="C17" s="18" t="s">
        <v>339</v>
      </c>
      <c r="D17" s="18" t="s">
        <v>319</v>
      </c>
      <c r="E17" s="18" t="s">
        <v>281</v>
      </c>
      <c r="G17" s="24" t="s">
        <v>214</v>
      </c>
      <c r="I17" s="25"/>
      <c r="M17" s="24"/>
    </row>
    <row r="18" spans="3:13">
      <c r="C18" s="18" t="s">
        <v>340</v>
      </c>
      <c r="D18" s="18" t="s">
        <v>321</v>
      </c>
      <c r="E18" s="18" t="s">
        <v>35</v>
      </c>
      <c r="G18" s="24" t="s">
        <v>311</v>
      </c>
      <c r="I18" s="25"/>
    </row>
    <row r="19" spans="3:13">
      <c r="C19" s="18" t="s">
        <v>341</v>
      </c>
      <c r="D19" s="18" t="s">
        <v>58</v>
      </c>
      <c r="E19" s="18" t="s">
        <v>101</v>
      </c>
      <c r="G19" s="24" t="s">
        <v>286</v>
      </c>
      <c r="I19" s="25"/>
    </row>
    <row r="20" spans="3:13">
      <c r="C20" s="20" t="s">
        <v>342</v>
      </c>
      <c r="D20" s="18" t="s">
        <v>323</v>
      </c>
      <c r="E20" s="18" t="s">
        <v>29</v>
      </c>
      <c r="G20" s="24" t="s">
        <v>312</v>
      </c>
      <c r="I20" s="25"/>
    </row>
    <row r="21" spans="3:13">
      <c r="C21" s="20" t="s">
        <v>343</v>
      </c>
      <c r="D21" s="18" t="s">
        <v>60</v>
      </c>
      <c r="E21" s="18" t="s">
        <v>278</v>
      </c>
      <c r="G21" s="24" t="s">
        <v>206</v>
      </c>
      <c r="I21" s="25"/>
    </row>
    <row r="22" spans="3:13">
      <c r="D22" s="18" t="s">
        <v>61</v>
      </c>
      <c r="E22" s="18" t="s">
        <v>97</v>
      </c>
      <c r="G22" s="24" t="s">
        <v>204</v>
      </c>
    </row>
    <row r="23" spans="3:13">
      <c r="D23" s="18" t="s">
        <v>63</v>
      </c>
      <c r="E23" s="18" t="s">
        <v>100</v>
      </c>
      <c r="G23" s="24" t="s">
        <v>207</v>
      </c>
    </row>
    <row r="24" spans="3:13">
      <c r="D24" s="18" t="s">
        <v>62</v>
      </c>
      <c r="E24" s="18" t="s">
        <v>58</v>
      </c>
      <c r="G24" s="24" t="s">
        <v>205</v>
      </c>
    </row>
    <row r="25" spans="3:13">
      <c r="D25" s="18" t="s">
        <v>14</v>
      </c>
      <c r="E25" s="18" t="s">
        <v>128</v>
      </c>
      <c r="G25" s="24" t="s">
        <v>310</v>
      </c>
    </row>
    <row r="26" spans="3:13">
      <c r="D26" s="18" t="s">
        <v>66</v>
      </c>
      <c r="E26" s="18" t="s">
        <v>293</v>
      </c>
      <c r="G26" s="24" t="s">
        <v>309</v>
      </c>
    </row>
    <row r="27" spans="3:13">
      <c r="D27" s="18" t="s">
        <v>140</v>
      </c>
      <c r="E27" s="18" t="s">
        <v>59</v>
      </c>
      <c r="G27" s="24" t="s">
        <v>215</v>
      </c>
    </row>
    <row r="28" spans="3:13">
      <c r="D28" s="18" t="s">
        <v>65</v>
      </c>
      <c r="E28" s="18" t="s">
        <v>129</v>
      </c>
      <c r="G28" s="24" t="s">
        <v>212</v>
      </c>
    </row>
    <row r="29" spans="3:13">
      <c r="D29" s="18" t="s">
        <v>67</v>
      </c>
      <c r="E29" s="18" t="s">
        <v>130</v>
      </c>
      <c r="G29" s="24" t="s">
        <v>197</v>
      </c>
    </row>
    <row r="30" spans="3:13">
      <c r="D30" s="18" t="s">
        <v>64</v>
      </c>
      <c r="E30" s="18" t="s">
        <v>294</v>
      </c>
      <c r="G30" s="24" t="s">
        <v>289</v>
      </c>
    </row>
    <row r="31" spans="3:13">
      <c r="D31" s="18" t="s">
        <v>68</v>
      </c>
      <c r="E31" s="18" t="s">
        <v>60</v>
      </c>
      <c r="G31" s="24" t="s">
        <v>261</v>
      </c>
    </row>
    <row r="32" spans="3:13">
      <c r="D32" s="18" t="s">
        <v>15</v>
      </c>
      <c r="E32" s="18" t="s">
        <v>131</v>
      </c>
      <c r="G32" s="24" t="s">
        <v>262</v>
      </c>
    </row>
    <row r="33" spans="4:5">
      <c r="D33" s="18" t="s">
        <v>150</v>
      </c>
      <c r="E33" s="18" t="s">
        <v>132</v>
      </c>
    </row>
    <row r="34" spans="4:5">
      <c r="D34" s="18" t="s">
        <v>69</v>
      </c>
      <c r="E34" s="18" t="s">
        <v>61</v>
      </c>
    </row>
    <row r="35" spans="4:5">
      <c r="D35" s="18" t="s">
        <v>70</v>
      </c>
      <c r="E35" s="18" t="s">
        <v>133</v>
      </c>
    </row>
    <row r="36" spans="4:5">
      <c r="D36" s="18" t="s">
        <v>71</v>
      </c>
      <c r="E36" s="18" t="s">
        <v>295</v>
      </c>
    </row>
    <row r="37" spans="4:5">
      <c r="D37" s="18" t="s">
        <v>24</v>
      </c>
      <c r="E37" s="18" t="s">
        <v>63</v>
      </c>
    </row>
    <row r="38" spans="4:5">
      <c r="D38" s="18" t="s">
        <v>290</v>
      </c>
      <c r="E38" s="18" t="s">
        <v>135</v>
      </c>
    </row>
    <row r="39" spans="4:5">
      <c r="D39" s="18" t="s">
        <v>87</v>
      </c>
      <c r="E39" s="18" t="s">
        <v>136</v>
      </c>
    </row>
    <row r="40" spans="4:5">
      <c r="D40" s="18" t="s">
        <v>92</v>
      </c>
      <c r="E40" s="18" t="s">
        <v>62</v>
      </c>
    </row>
    <row r="41" spans="4:5">
      <c r="D41" s="18" t="s">
        <v>91</v>
      </c>
      <c r="E41" s="18" t="s">
        <v>134</v>
      </c>
    </row>
    <row r="42" spans="4:5">
      <c r="D42" s="18" t="s">
        <v>181</v>
      </c>
      <c r="E42" s="18" t="s">
        <v>14</v>
      </c>
    </row>
    <row r="43" spans="4:5">
      <c r="D43" s="18" t="s">
        <v>22</v>
      </c>
      <c r="E43" s="18" t="s">
        <v>154</v>
      </c>
    </row>
    <row r="44" spans="4:5">
      <c r="D44" s="18" t="s">
        <v>90</v>
      </c>
      <c r="E44" s="18" t="s">
        <v>156</v>
      </c>
    </row>
    <row r="45" spans="4:5">
      <c r="D45" s="18" t="s">
        <v>89</v>
      </c>
      <c r="E45" s="18" t="s">
        <v>296</v>
      </c>
    </row>
    <row r="46" spans="4:5">
      <c r="D46" s="18" t="s">
        <v>23</v>
      </c>
      <c r="E46" s="18" t="s">
        <v>66</v>
      </c>
    </row>
    <row r="47" spans="4:5">
      <c r="D47" s="18" t="s">
        <v>88</v>
      </c>
      <c r="E47" s="18" t="s">
        <v>297</v>
      </c>
    </row>
    <row r="48" spans="4:5">
      <c r="D48" s="18" t="s">
        <v>177</v>
      </c>
      <c r="E48" s="18" t="s">
        <v>142</v>
      </c>
    </row>
    <row r="49" spans="4:5">
      <c r="D49" s="18" t="s">
        <v>93</v>
      </c>
      <c r="E49" s="18" t="s">
        <v>143</v>
      </c>
    </row>
    <row r="50" spans="4:5">
      <c r="D50" s="18" t="s">
        <v>94</v>
      </c>
      <c r="E50" s="18" t="s">
        <v>139</v>
      </c>
    </row>
    <row r="51" spans="4:5">
      <c r="D51" s="18" t="s">
        <v>86</v>
      </c>
      <c r="E51" s="18" t="s">
        <v>140</v>
      </c>
    </row>
    <row r="52" spans="4:5">
      <c r="D52" s="18" t="s">
        <v>173</v>
      </c>
      <c r="E52" s="18" t="s">
        <v>65</v>
      </c>
    </row>
    <row r="53" spans="4:5">
      <c r="D53" s="18" t="s">
        <v>85</v>
      </c>
      <c r="E53" s="18" t="s">
        <v>155</v>
      </c>
    </row>
    <row r="54" spans="4:5">
      <c r="D54" s="18" t="s">
        <v>46</v>
      </c>
      <c r="E54" s="18" t="s">
        <v>67</v>
      </c>
    </row>
    <row r="55" spans="4:5">
      <c r="D55" s="18" t="s">
        <v>110</v>
      </c>
      <c r="E55" s="18" t="s">
        <v>144</v>
      </c>
    </row>
    <row r="56" spans="4:5">
      <c r="D56" s="18" t="s">
        <v>45</v>
      </c>
      <c r="E56" s="18" t="s">
        <v>145</v>
      </c>
    </row>
    <row r="57" spans="4:5">
      <c r="D57" s="18" t="s">
        <v>42</v>
      </c>
      <c r="E57" s="18" t="s">
        <v>146</v>
      </c>
    </row>
    <row r="58" spans="4:5">
      <c r="D58" s="18" t="s">
        <v>43</v>
      </c>
      <c r="E58" s="18" t="s">
        <v>64</v>
      </c>
    </row>
    <row r="59" spans="4:5">
      <c r="D59" s="18" t="s">
        <v>44</v>
      </c>
      <c r="E59" s="18" t="s">
        <v>137</v>
      </c>
    </row>
    <row r="60" spans="4:5">
      <c r="D60" s="18" t="s">
        <v>40</v>
      </c>
      <c r="E60" s="18" t="s">
        <v>298</v>
      </c>
    </row>
    <row r="61" spans="4:5">
      <c r="D61" s="18" t="s">
        <v>48</v>
      </c>
      <c r="E61" s="18" t="s">
        <v>68</v>
      </c>
    </row>
    <row r="62" spans="4:5">
      <c r="D62" s="18" t="s">
        <v>49</v>
      </c>
      <c r="E62" s="18" t="s">
        <v>147</v>
      </c>
    </row>
    <row r="63" spans="4:5">
      <c r="D63" s="18" t="s">
        <v>41</v>
      </c>
      <c r="E63" s="18" t="s">
        <v>148</v>
      </c>
    </row>
    <row r="64" spans="4:5">
      <c r="D64" s="18" t="s">
        <v>50</v>
      </c>
      <c r="E64" s="18" t="s">
        <v>15</v>
      </c>
    </row>
    <row r="65" spans="4:5">
      <c r="D65" s="18" t="s">
        <v>305</v>
      </c>
      <c r="E65" s="18" t="s">
        <v>158</v>
      </c>
    </row>
    <row r="66" spans="4:5">
      <c r="D66" s="18" t="s">
        <v>114</v>
      </c>
      <c r="E66" s="18" t="s">
        <v>299</v>
      </c>
    </row>
    <row r="67" spans="4:5">
      <c r="D67" s="18" t="s">
        <v>32</v>
      </c>
      <c r="E67" s="18" t="s">
        <v>157</v>
      </c>
    </row>
    <row r="68" spans="4:5">
      <c r="D68" s="18" t="s">
        <v>47</v>
      </c>
      <c r="E68" s="18" t="s">
        <v>150</v>
      </c>
    </row>
    <row r="69" spans="4:5">
      <c r="D69" s="18" t="s">
        <v>76</v>
      </c>
      <c r="E69" s="18" t="s">
        <v>69</v>
      </c>
    </row>
    <row r="70" spans="4:5">
      <c r="D70" s="18" t="s">
        <v>84</v>
      </c>
      <c r="E70" s="18" t="s">
        <v>149</v>
      </c>
    </row>
    <row r="71" spans="4:5">
      <c r="D71" s="18" t="s">
        <v>74</v>
      </c>
      <c r="E71" s="18" t="s">
        <v>301</v>
      </c>
    </row>
    <row r="72" spans="4:5">
      <c r="D72" s="18" t="s">
        <v>75</v>
      </c>
      <c r="E72" s="18" t="s">
        <v>70</v>
      </c>
    </row>
    <row r="73" spans="4:5">
      <c r="D73" s="18" t="s">
        <v>284</v>
      </c>
      <c r="E73" s="18" t="s">
        <v>151</v>
      </c>
    </row>
    <row r="74" spans="4:5">
      <c r="D74" s="18" t="s">
        <v>19</v>
      </c>
      <c r="E74" s="18" t="s">
        <v>71</v>
      </c>
    </row>
    <row r="75" spans="4:5">
      <c r="D75" s="18" t="s">
        <v>78</v>
      </c>
      <c r="E75" s="18" t="s">
        <v>153</v>
      </c>
    </row>
    <row r="76" spans="4:5">
      <c r="D76" s="18" t="s">
        <v>169</v>
      </c>
      <c r="E76" s="18" t="s">
        <v>300</v>
      </c>
    </row>
    <row r="77" spans="4:5">
      <c r="D77" s="18" t="s">
        <v>83</v>
      </c>
      <c r="E77" s="18" t="s">
        <v>24</v>
      </c>
    </row>
    <row r="78" spans="4:5">
      <c r="D78" s="20" t="s">
        <v>81</v>
      </c>
      <c r="E78" s="18" t="s">
        <v>327</v>
      </c>
    </row>
    <row r="79" spans="4:5">
      <c r="D79" s="20" t="s">
        <v>167</v>
      </c>
      <c r="E79" s="18" t="s">
        <v>290</v>
      </c>
    </row>
    <row r="80" spans="4:5">
      <c r="D80" s="20" t="s">
        <v>80</v>
      </c>
      <c r="E80" s="18" t="s">
        <v>180</v>
      </c>
    </row>
    <row r="81" spans="4:5">
      <c r="D81" s="20" t="s">
        <v>21</v>
      </c>
      <c r="E81" s="18" t="s">
        <v>87</v>
      </c>
    </row>
    <row r="82" spans="4:5">
      <c r="D82" s="20" t="s">
        <v>51</v>
      </c>
      <c r="E82" s="18" t="s">
        <v>291</v>
      </c>
    </row>
    <row r="83" spans="4:5">
      <c r="D83" s="20" t="s">
        <v>53</v>
      </c>
      <c r="E83" s="18" t="s">
        <v>292</v>
      </c>
    </row>
    <row r="84" spans="4:5">
      <c r="D84" s="20" t="s">
        <v>52</v>
      </c>
      <c r="E84" s="18" t="s">
        <v>183</v>
      </c>
    </row>
    <row r="85" spans="4:5">
      <c r="D85" s="20" t="s">
        <v>55</v>
      </c>
      <c r="E85" s="18" t="s">
        <v>184</v>
      </c>
    </row>
    <row r="86" spans="4:5">
      <c r="D86" s="20" t="s">
        <v>54</v>
      </c>
      <c r="E86" s="18" t="s">
        <v>92</v>
      </c>
    </row>
    <row r="87" spans="4:5">
      <c r="D87" s="20" t="s">
        <v>56</v>
      </c>
      <c r="E87" s="18" t="s">
        <v>91</v>
      </c>
    </row>
    <row r="88" spans="4:5">
      <c r="D88" s="20" t="s">
        <v>33</v>
      </c>
      <c r="E88" s="18" t="s">
        <v>182</v>
      </c>
    </row>
    <row r="89" spans="4:5">
      <c r="D89" s="20" t="s">
        <v>57</v>
      </c>
      <c r="E89" s="18" t="s">
        <v>181</v>
      </c>
    </row>
    <row r="90" spans="4:5">
      <c r="D90" s="20" t="s">
        <v>31</v>
      </c>
      <c r="E90" s="18" t="s">
        <v>185</v>
      </c>
    </row>
    <row r="91" spans="4:5">
      <c r="D91" s="20" t="s">
        <v>82</v>
      </c>
      <c r="E91" s="18" t="s">
        <v>22</v>
      </c>
    </row>
    <row r="92" spans="4:5">
      <c r="D92" s="20" t="s">
        <v>9</v>
      </c>
      <c r="E92" s="18" t="s">
        <v>329</v>
      </c>
    </row>
    <row r="93" spans="4:5">
      <c r="E93" s="18" t="s">
        <v>330</v>
      </c>
    </row>
    <row r="94" spans="4:5">
      <c r="E94" s="18" t="s">
        <v>90</v>
      </c>
    </row>
    <row r="95" spans="4:5">
      <c r="E95" s="18" t="s">
        <v>89</v>
      </c>
    </row>
    <row r="96" spans="4:5">
      <c r="E96" s="18" t="s">
        <v>179</v>
      </c>
    </row>
    <row r="97" spans="5:5">
      <c r="E97" s="18" t="s">
        <v>23</v>
      </c>
    </row>
    <row r="98" spans="5:5">
      <c r="E98" s="18" t="s">
        <v>332</v>
      </c>
    </row>
    <row r="99" spans="5:5">
      <c r="E99" s="18" t="s">
        <v>88</v>
      </c>
    </row>
    <row r="100" spans="5:5">
      <c r="E100" s="18" t="s">
        <v>177</v>
      </c>
    </row>
    <row r="101" spans="5:5">
      <c r="E101" s="18" t="s">
        <v>178</v>
      </c>
    </row>
    <row r="102" spans="5:5">
      <c r="E102" s="18" t="s">
        <v>333</v>
      </c>
    </row>
    <row r="103" spans="5:5">
      <c r="E103" s="18" t="s">
        <v>93</v>
      </c>
    </row>
    <row r="104" spans="5:5">
      <c r="E104" s="18" t="s">
        <v>188</v>
      </c>
    </row>
    <row r="105" spans="5:5">
      <c r="E105" s="18" t="s">
        <v>186</v>
      </c>
    </row>
    <row r="106" spans="5:5">
      <c r="E106" s="18" t="s">
        <v>189</v>
      </c>
    </row>
    <row r="107" spans="5:5">
      <c r="E107" s="18" t="s">
        <v>187</v>
      </c>
    </row>
    <row r="108" spans="5:5">
      <c r="E108" s="18" t="s">
        <v>94</v>
      </c>
    </row>
    <row r="109" spans="5:5">
      <c r="E109" s="18" t="s">
        <v>86</v>
      </c>
    </row>
    <row r="110" spans="5:5">
      <c r="E110" s="18" t="s">
        <v>172</v>
      </c>
    </row>
    <row r="111" spans="5:5">
      <c r="E111" s="18" t="s">
        <v>173</v>
      </c>
    </row>
    <row r="112" spans="5:5">
      <c r="E112" s="18" t="s">
        <v>334</v>
      </c>
    </row>
    <row r="113" spans="5:5">
      <c r="E113" s="18" t="s">
        <v>85</v>
      </c>
    </row>
    <row r="114" spans="5:5">
      <c r="E114" s="18" t="s">
        <v>171</v>
      </c>
    </row>
    <row r="115" spans="5:5">
      <c r="E115" s="18" t="s">
        <v>302</v>
      </c>
    </row>
    <row r="116" spans="5:5">
      <c r="E116" s="18" t="s">
        <v>110</v>
      </c>
    </row>
    <row r="117" spans="5:5">
      <c r="E117" s="18" t="s">
        <v>111</v>
      </c>
    </row>
    <row r="118" spans="5:5">
      <c r="E118" s="18" t="s">
        <v>45</v>
      </c>
    </row>
    <row r="119" spans="5:5">
      <c r="E119" s="18" t="s">
        <v>108</v>
      </c>
    </row>
    <row r="120" spans="5:5">
      <c r="E120" s="18" t="s">
        <v>109</v>
      </c>
    </row>
    <row r="121" spans="5:5">
      <c r="E121" s="18" t="s">
        <v>303</v>
      </c>
    </row>
    <row r="122" spans="5:5">
      <c r="E122" s="18" t="s">
        <v>42</v>
      </c>
    </row>
    <row r="123" spans="5:5">
      <c r="E123" s="18" t="s">
        <v>304</v>
      </c>
    </row>
    <row r="124" spans="5:5">
      <c r="E124" s="18" t="s">
        <v>43</v>
      </c>
    </row>
    <row r="125" spans="5:5">
      <c r="E125" s="18" t="s">
        <v>44</v>
      </c>
    </row>
    <row r="126" spans="5:5">
      <c r="E126" s="18" t="s">
        <v>106</v>
      </c>
    </row>
    <row r="127" spans="5:5">
      <c r="E127" s="18" t="s">
        <v>103</v>
      </c>
    </row>
    <row r="128" spans="5:5">
      <c r="E128" s="18" t="s">
        <v>104</v>
      </c>
    </row>
    <row r="129" spans="5:5">
      <c r="E129" s="18" t="s">
        <v>40</v>
      </c>
    </row>
    <row r="130" spans="5:5">
      <c r="E130" s="18" t="s">
        <v>48</v>
      </c>
    </row>
    <row r="131" spans="5:5">
      <c r="E131" s="18" t="s">
        <v>117</v>
      </c>
    </row>
    <row r="132" spans="5:5">
      <c r="E132" s="18" t="s">
        <v>306</v>
      </c>
    </row>
    <row r="133" spans="5:5">
      <c r="E133" s="18" t="s">
        <v>49</v>
      </c>
    </row>
    <row r="134" spans="5:5">
      <c r="E134" s="18" t="s">
        <v>118</v>
      </c>
    </row>
    <row r="135" spans="5:5">
      <c r="E135" s="18" t="s">
        <v>105</v>
      </c>
    </row>
    <row r="136" spans="5:5">
      <c r="E136" s="18" t="s">
        <v>307</v>
      </c>
    </row>
    <row r="137" spans="5:5">
      <c r="E137" s="18" t="s">
        <v>41</v>
      </c>
    </row>
    <row r="138" spans="5:5">
      <c r="E138" s="18" t="s">
        <v>107</v>
      </c>
    </row>
    <row r="139" spans="5:5">
      <c r="E139" s="18" t="s">
        <v>50</v>
      </c>
    </row>
    <row r="140" spans="5:5">
      <c r="E140" s="18" t="s">
        <v>119</v>
      </c>
    </row>
    <row r="141" spans="5:5">
      <c r="E141" s="18" t="s">
        <v>337</v>
      </c>
    </row>
    <row r="142" spans="5:5">
      <c r="E142" s="18" t="s">
        <v>11</v>
      </c>
    </row>
    <row r="143" spans="5:5">
      <c r="E143" s="18" t="s">
        <v>114</v>
      </c>
    </row>
    <row r="144" spans="5:5">
      <c r="E144" s="18" t="s">
        <v>113</v>
      </c>
    </row>
    <row r="145" spans="5:5">
      <c r="E145" s="18" t="s">
        <v>116</v>
      </c>
    </row>
    <row r="146" spans="5:5">
      <c r="E146" s="18" t="s">
        <v>47</v>
      </c>
    </row>
    <row r="147" spans="5:5">
      <c r="E147" s="18" t="s">
        <v>115</v>
      </c>
    </row>
    <row r="148" spans="5:5">
      <c r="E148" s="18" t="s">
        <v>112</v>
      </c>
    </row>
    <row r="149" spans="5:5">
      <c r="E149" s="18" t="s">
        <v>127</v>
      </c>
    </row>
    <row r="150" spans="5:5">
      <c r="E150" s="18" t="s">
        <v>99</v>
      </c>
    </row>
    <row r="151" spans="5:5">
      <c r="E151" s="18" t="s">
        <v>32</v>
      </c>
    </row>
    <row r="152" spans="5:5">
      <c r="E152" s="18" t="s">
        <v>76</v>
      </c>
    </row>
    <row r="153" spans="5:5">
      <c r="E153" s="18" t="s">
        <v>84</v>
      </c>
    </row>
    <row r="154" spans="5:5">
      <c r="E154" s="18" t="s">
        <v>74</v>
      </c>
    </row>
    <row r="155" spans="5:5">
      <c r="E155" s="18" t="s">
        <v>75</v>
      </c>
    </row>
    <row r="156" spans="5:5">
      <c r="E156" s="18" t="s">
        <v>162</v>
      </c>
    </row>
    <row r="157" spans="5:5">
      <c r="E157" s="18" t="s">
        <v>73</v>
      </c>
    </row>
    <row r="158" spans="5:5">
      <c r="E158" s="18" t="s">
        <v>160</v>
      </c>
    </row>
    <row r="159" spans="5:5">
      <c r="E159" s="18" t="s">
        <v>78</v>
      </c>
    </row>
    <row r="160" spans="5:5">
      <c r="E160" s="18" t="s">
        <v>285</v>
      </c>
    </row>
    <row r="161" spans="5:5">
      <c r="E161" s="18" t="s">
        <v>284</v>
      </c>
    </row>
    <row r="162" spans="5:5">
      <c r="E162" s="18" t="s">
        <v>283</v>
      </c>
    </row>
    <row r="163" spans="5:5">
      <c r="E163" s="18" t="s">
        <v>19</v>
      </c>
    </row>
    <row r="164" spans="5:5">
      <c r="E164" s="18" t="s">
        <v>169</v>
      </c>
    </row>
    <row r="165" spans="5:5">
      <c r="E165" s="18" t="s">
        <v>161</v>
      </c>
    </row>
    <row r="166" spans="5:5">
      <c r="E166" s="18" t="s">
        <v>83</v>
      </c>
    </row>
    <row r="167" spans="5:5">
      <c r="E167" s="20" t="s">
        <v>287</v>
      </c>
    </row>
    <row r="168" spans="5:5">
      <c r="E168" s="20" t="s">
        <v>81</v>
      </c>
    </row>
    <row r="169" spans="5:5">
      <c r="E169" s="20" t="s">
        <v>166</v>
      </c>
    </row>
    <row r="170" spans="5:5">
      <c r="E170" s="20" t="s">
        <v>167</v>
      </c>
    </row>
    <row r="171" spans="5:5">
      <c r="E171" s="20" t="s">
        <v>165</v>
      </c>
    </row>
    <row r="172" spans="5:5">
      <c r="E172" s="20" t="s">
        <v>170</v>
      </c>
    </row>
    <row r="173" spans="5:5">
      <c r="E173" s="20" t="s">
        <v>80</v>
      </c>
    </row>
    <row r="174" spans="5:5">
      <c r="E174" s="20" t="s">
        <v>21</v>
      </c>
    </row>
    <row r="175" spans="5:5">
      <c r="E175" s="20" t="s">
        <v>51</v>
      </c>
    </row>
    <row r="176" spans="5:5">
      <c r="E176" s="20" t="s">
        <v>122</v>
      </c>
    </row>
    <row r="177" spans="5:5">
      <c r="E177" s="20" t="s">
        <v>308</v>
      </c>
    </row>
    <row r="178" spans="5:5">
      <c r="E178" s="20" t="s">
        <v>53</v>
      </c>
    </row>
    <row r="179" spans="5:5">
      <c r="E179" s="20" t="s">
        <v>124</v>
      </c>
    </row>
    <row r="180" spans="5:5">
      <c r="E180" s="20" t="s">
        <v>123</v>
      </c>
    </row>
    <row r="181" spans="5:5">
      <c r="E181" s="20" t="s">
        <v>52</v>
      </c>
    </row>
    <row r="182" spans="5:5">
      <c r="E182" s="20" t="s">
        <v>55</v>
      </c>
    </row>
    <row r="183" spans="5:5">
      <c r="E183" s="20" t="s">
        <v>126</v>
      </c>
    </row>
    <row r="184" spans="5:5">
      <c r="E184" s="20" t="s">
        <v>54</v>
      </c>
    </row>
    <row r="185" spans="5:5">
      <c r="E185" s="20" t="s">
        <v>125</v>
      </c>
    </row>
    <row r="186" spans="5:5">
      <c r="E186" s="20" t="s">
        <v>56</v>
      </c>
    </row>
    <row r="187" spans="5:5">
      <c r="E187" s="20" t="s">
        <v>277</v>
      </c>
    </row>
    <row r="188" spans="5:5">
      <c r="E188" s="20" t="s">
        <v>279</v>
      </c>
    </row>
    <row r="189" spans="5:5">
      <c r="E189" s="20" t="s">
        <v>57</v>
      </c>
    </row>
    <row r="190" spans="5:5">
      <c r="E190" s="20" t="s">
        <v>98</v>
      </c>
    </row>
    <row r="191" spans="5:5">
      <c r="E191" s="20" t="s">
        <v>31</v>
      </c>
    </row>
    <row r="192" spans="5:5">
      <c r="E192" s="20" t="s">
        <v>82</v>
      </c>
    </row>
    <row r="193" spans="5:5">
      <c r="E193" s="20" t="s">
        <v>9</v>
      </c>
    </row>
    <row r="194" spans="5:5">
      <c r="E194" s="20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4846"/>
  </sheetPr>
  <dimension ref="A3:AH77"/>
  <sheetViews>
    <sheetView showGridLines="0" tabSelected="1" zoomScale="70" zoomScaleNormal="70" workbookViewId="0">
      <selection activeCell="K18" sqref="K18"/>
    </sheetView>
  </sheetViews>
  <sheetFormatPr defaultColWidth="9.28515625" defaultRowHeight="12.75"/>
  <cols>
    <col min="1" max="1" width="6.5703125" style="21" bestFit="1" customWidth="1"/>
    <col min="2" max="2" width="22.28515625" style="21" customWidth="1"/>
    <col min="3" max="3" width="16.28515625" style="21" bestFit="1" customWidth="1"/>
    <col min="4" max="4" width="33" style="21" customWidth="1"/>
    <col min="5" max="5" width="26" style="21" customWidth="1"/>
    <col min="6" max="6" width="26" style="21" bestFit="1" customWidth="1"/>
    <col min="7" max="7" width="20" style="21" bestFit="1" customWidth="1"/>
    <col min="8" max="8" width="16.5703125" style="21" customWidth="1"/>
    <col min="9" max="9" width="38.28515625" style="27" bestFit="1" customWidth="1"/>
    <col min="10" max="10" width="22" style="21" bestFit="1" customWidth="1"/>
    <col min="11" max="11" width="19.7109375" style="21" bestFit="1" customWidth="1"/>
    <col min="12" max="12" width="16.28515625" style="22" customWidth="1"/>
    <col min="13" max="13" width="8.5703125" style="21" customWidth="1"/>
    <col min="14" max="14" width="16.7109375" style="22" customWidth="1"/>
    <col min="15" max="15" width="26.7109375" style="21" customWidth="1"/>
    <col min="16" max="16" width="11.5703125" style="21" customWidth="1"/>
    <col min="17" max="18" width="8.7109375" style="21" customWidth="1"/>
    <col min="19" max="19" width="12.7109375" style="21" customWidth="1"/>
    <col min="20" max="23" width="8.7109375" style="21" customWidth="1"/>
    <col min="24" max="24" width="11.7109375" style="21" customWidth="1"/>
    <col min="25" max="25" width="13.7109375" style="21" customWidth="1"/>
    <col min="26" max="26" width="15" style="21" customWidth="1"/>
    <col min="27" max="27" width="17.7109375" style="21" customWidth="1"/>
    <col min="28" max="28" width="27" style="23" customWidth="1"/>
    <col min="29" max="29" width="21.28515625" style="23" customWidth="1"/>
    <col min="30" max="30" width="17.5703125" style="21" customWidth="1"/>
    <col min="31" max="31" width="18.42578125" style="21" customWidth="1"/>
    <col min="32" max="32" width="30.28515625" style="21" customWidth="1"/>
    <col min="33" max="33" width="14.28515625" style="21" customWidth="1"/>
    <col min="34" max="34" width="40.28515625" style="21" customWidth="1"/>
    <col min="35" max="16384" width="9.28515625" style="21"/>
  </cols>
  <sheetData>
    <row r="3" spans="1:34" ht="13.5" thickBot="1">
      <c r="I3" s="21"/>
      <c r="AB3" s="21"/>
      <c r="AC3" s="21"/>
    </row>
    <row r="4" spans="1:34" ht="36.4" customHeight="1">
      <c r="A4" s="61" t="s">
        <v>0</v>
      </c>
      <c r="B4" s="59" t="s">
        <v>414</v>
      </c>
      <c r="C4" s="63" t="s">
        <v>402</v>
      </c>
      <c r="D4" s="63" t="s">
        <v>190</v>
      </c>
      <c r="E4" s="63" t="s">
        <v>403</v>
      </c>
      <c r="F4" s="63" t="s">
        <v>415</v>
      </c>
      <c r="G4" s="63" t="s">
        <v>404</v>
      </c>
      <c r="H4" s="63" t="s">
        <v>416</v>
      </c>
      <c r="I4" s="63" t="s">
        <v>405</v>
      </c>
      <c r="J4" s="63" t="s">
        <v>265</v>
      </c>
      <c r="K4" s="63" t="s">
        <v>266</v>
      </c>
      <c r="L4" s="65" t="s">
        <v>406</v>
      </c>
      <c r="M4" s="53" t="s">
        <v>2</v>
      </c>
      <c r="N4" s="65" t="s">
        <v>422</v>
      </c>
      <c r="O4" s="53" t="s">
        <v>423</v>
      </c>
      <c r="P4" s="53"/>
      <c r="Q4" s="53" t="s">
        <v>424</v>
      </c>
      <c r="R4" s="53"/>
      <c r="S4" s="53" t="s">
        <v>407</v>
      </c>
      <c r="T4" s="53" t="s">
        <v>408</v>
      </c>
      <c r="U4" s="53" t="s">
        <v>425</v>
      </c>
      <c r="V4" s="53"/>
      <c r="W4" s="53" t="s">
        <v>409</v>
      </c>
      <c r="X4" s="53" t="s">
        <v>410</v>
      </c>
      <c r="Y4" s="53" t="s">
        <v>411</v>
      </c>
      <c r="Z4" s="53" t="s">
        <v>412</v>
      </c>
      <c r="AA4" s="53" t="s">
        <v>421</v>
      </c>
      <c r="AB4" s="57" t="s">
        <v>417</v>
      </c>
      <c r="AC4" s="57" t="s">
        <v>418</v>
      </c>
      <c r="AD4" s="53" t="s">
        <v>5</v>
      </c>
      <c r="AE4" s="53" t="s">
        <v>6</v>
      </c>
      <c r="AF4" s="53" t="s">
        <v>413</v>
      </c>
      <c r="AG4" s="53" t="s">
        <v>419</v>
      </c>
      <c r="AH4" s="55" t="s">
        <v>420</v>
      </c>
    </row>
    <row r="5" spans="1:34" ht="21.6" customHeight="1" thickBot="1">
      <c r="A5" s="62"/>
      <c r="B5" s="60"/>
      <c r="C5" s="64"/>
      <c r="D5" s="64"/>
      <c r="E5" s="64"/>
      <c r="F5" s="64"/>
      <c r="G5" s="64"/>
      <c r="H5" s="64"/>
      <c r="I5" s="64"/>
      <c r="J5" s="64"/>
      <c r="K5" s="64"/>
      <c r="L5" s="66"/>
      <c r="M5" s="54"/>
      <c r="N5" s="66"/>
      <c r="O5" s="35" t="s">
        <v>3</v>
      </c>
      <c r="P5" s="35" t="s">
        <v>4</v>
      </c>
      <c r="Q5" s="35" t="s">
        <v>3</v>
      </c>
      <c r="R5" s="35" t="s">
        <v>4</v>
      </c>
      <c r="S5" s="54"/>
      <c r="T5" s="54"/>
      <c r="U5" s="35" t="s">
        <v>407</v>
      </c>
      <c r="V5" s="35" t="s">
        <v>408</v>
      </c>
      <c r="W5" s="54"/>
      <c r="X5" s="54"/>
      <c r="Y5" s="54"/>
      <c r="Z5" s="54"/>
      <c r="AA5" s="54"/>
      <c r="AB5" s="58"/>
      <c r="AC5" s="58"/>
      <c r="AD5" s="54"/>
      <c r="AE5" s="54"/>
      <c r="AF5" s="54"/>
      <c r="AG5" s="54"/>
      <c r="AH5" s="56"/>
    </row>
    <row r="6" spans="1:34">
      <c r="A6" s="36"/>
      <c r="B6" s="37" t="s">
        <v>426</v>
      </c>
      <c r="C6" s="37" t="s">
        <v>433</v>
      </c>
      <c r="D6" s="37" t="s">
        <v>435</v>
      </c>
      <c r="E6" s="37" t="s">
        <v>436</v>
      </c>
      <c r="F6" s="37" t="s">
        <v>436</v>
      </c>
      <c r="G6" s="37">
        <v>3400000592</v>
      </c>
      <c r="H6" s="37" t="s">
        <v>438</v>
      </c>
      <c r="I6" s="38" t="s">
        <v>510</v>
      </c>
      <c r="J6" s="37" t="s">
        <v>428</v>
      </c>
      <c r="K6" s="48"/>
      <c r="L6" s="47"/>
      <c r="M6" s="45"/>
      <c r="N6" s="47" t="s">
        <v>581</v>
      </c>
      <c r="O6" s="50"/>
      <c r="P6" s="29"/>
      <c r="Q6" s="39"/>
      <c r="R6" s="39"/>
      <c r="S6" s="39"/>
      <c r="T6" s="39"/>
      <c r="U6" s="39"/>
      <c r="V6" s="39"/>
      <c r="W6" s="39"/>
      <c r="X6" s="37"/>
      <c r="Y6" s="37"/>
      <c r="Z6" s="37"/>
      <c r="AA6" s="37"/>
      <c r="AB6" s="37"/>
      <c r="AC6" s="40"/>
      <c r="AD6" s="37"/>
      <c r="AE6" s="41"/>
      <c r="AF6" s="37"/>
      <c r="AG6" s="37"/>
      <c r="AH6" s="42"/>
    </row>
    <row r="7" spans="1:34">
      <c r="A7" s="43"/>
      <c r="B7" s="29" t="s">
        <v>426</v>
      </c>
      <c r="C7" s="29" t="s">
        <v>433</v>
      </c>
      <c r="D7" s="29" t="s">
        <v>435</v>
      </c>
      <c r="E7" s="29" t="s">
        <v>436</v>
      </c>
      <c r="F7" s="29" t="s">
        <v>436</v>
      </c>
      <c r="G7" s="29">
        <v>3400000592</v>
      </c>
      <c r="H7" s="29" t="s">
        <v>439</v>
      </c>
      <c r="I7" s="32" t="s">
        <v>511</v>
      </c>
      <c r="J7" s="29" t="s">
        <v>428</v>
      </c>
      <c r="K7" s="49"/>
      <c r="L7" s="47"/>
      <c r="M7" s="46"/>
      <c r="N7" s="22">
        <v>45340</v>
      </c>
      <c r="O7" s="50"/>
      <c r="P7" s="29"/>
      <c r="Q7" s="31"/>
      <c r="R7" s="31"/>
      <c r="S7" s="31"/>
      <c r="T7" s="31"/>
      <c r="U7" s="31"/>
      <c r="V7" s="31"/>
      <c r="W7" s="31"/>
      <c r="X7" s="29"/>
      <c r="Y7" s="29"/>
      <c r="Z7" s="29"/>
      <c r="AA7" s="29"/>
      <c r="AB7" s="30"/>
      <c r="AC7" s="30"/>
      <c r="AD7" s="29"/>
      <c r="AE7" s="33"/>
      <c r="AF7" s="29"/>
      <c r="AG7" s="29"/>
      <c r="AH7" s="44"/>
    </row>
    <row r="8" spans="1:34">
      <c r="A8" s="43"/>
      <c r="B8" s="29" t="s">
        <v>426</v>
      </c>
      <c r="C8" s="29" t="s">
        <v>433</v>
      </c>
      <c r="D8" s="29" t="s">
        <v>435</v>
      </c>
      <c r="E8" s="29" t="s">
        <v>436</v>
      </c>
      <c r="F8" s="29" t="s">
        <v>436</v>
      </c>
      <c r="G8" s="29">
        <v>3400000592</v>
      </c>
      <c r="H8" s="29" t="s">
        <v>440</v>
      </c>
      <c r="I8" s="32" t="s">
        <v>512</v>
      </c>
      <c r="J8" s="29" t="s">
        <v>429</v>
      </c>
      <c r="K8" s="49"/>
      <c r="L8" s="47"/>
      <c r="M8" s="46"/>
      <c r="N8" s="47">
        <v>45627</v>
      </c>
      <c r="O8" s="50"/>
      <c r="P8" s="29"/>
      <c r="Q8" s="31"/>
      <c r="R8" s="31"/>
      <c r="S8" s="31"/>
      <c r="T8" s="31"/>
      <c r="U8" s="31"/>
      <c r="V8" s="31"/>
      <c r="W8" s="31"/>
      <c r="X8" s="29"/>
      <c r="Y8" s="29"/>
      <c r="Z8" s="29"/>
      <c r="AA8" s="29"/>
      <c r="AB8" s="30"/>
      <c r="AC8" s="30"/>
      <c r="AD8" s="29"/>
      <c r="AE8" s="33"/>
      <c r="AF8" s="29"/>
      <c r="AG8" s="29"/>
      <c r="AH8" s="44"/>
    </row>
    <row r="9" spans="1:34">
      <c r="A9" s="43"/>
      <c r="B9" s="29" t="s">
        <v>426</v>
      </c>
      <c r="C9" s="29" t="s">
        <v>433</v>
      </c>
      <c r="D9" s="29" t="s">
        <v>435</v>
      </c>
      <c r="E9" s="29" t="s">
        <v>436</v>
      </c>
      <c r="F9" s="29" t="s">
        <v>436</v>
      </c>
      <c r="G9" s="29">
        <v>3400000592</v>
      </c>
      <c r="H9" s="29" t="s">
        <v>441</v>
      </c>
      <c r="I9" s="32" t="s">
        <v>513</v>
      </c>
      <c r="J9" s="29" t="s">
        <v>427</v>
      </c>
      <c r="K9" s="49"/>
      <c r="L9" s="47"/>
      <c r="M9" s="46"/>
      <c r="N9" s="47">
        <v>45383</v>
      </c>
      <c r="O9" s="50"/>
      <c r="P9" s="29"/>
      <c r="Q9" s="31"/>
      <c r="R9" s="31"/>
      <c r="S9" s="31"/>
      <c r="T9" s="31"/>
      <c r="U9" s="31"/>
      <c r="V9" s="31"/>
      <c r="W9" s="31"/>
      <c r="X9" s="29"/>
      <c r="Y9" s="29"/>
      <c r="Z9" s="29"/>
      <c r="AA9" s="29"/>
      <c r="AB9" s="30"/>
      <c r="AC9" s="30"/>
      <c r="AD9" s="29"/>
      <c r="AE9" s="33"/>
      <c r="AF9" s="29"/>
      <c r="AG9" s="29"/>
      <c r="AH9" s="44"/>
    </row>
    <row r="10" spans="1:34">
      <c r="A10" s="43"/>
      <c r="B10" s="29" t="s">
        <v>426</v>
      </c>
      <c r="C10" s="29" t="s">
        <v>433</v>
      </c>
      <c r="D10" s="29" t="s">
        <v>435</v>
      </c>
      <c r="E10" s="29" t="s">
        <v>436</v>
      </c>
      <c r="F10" s="29" t="s">
        <v>436</v>
      </c>
      <c r="G10" s="29">
        <v>3400000592</v>
      </c>
      <c r="H10" s="29" t="s">
        <v>442</v>
      </c>
      <c r="I10" s="32" t="s">
        <v>514</v>
      </c>
      <c r="J10" s="29" t="s">
        <v>427</v>
      </c>
      <c r="K10" s="49"/>
      <c r="L10" s="47"/>
      <c r="M10" s="46"/>
      <c r="N10" s="47">
        <v>45431</v>
      </c>
      <c r="O10" s="50"/>
      <c r="P10" s="29"/>
      <c r="Q10" s="31"/>
      <c r="R10" s="31"/>
      <c r="S10" s="31"/>
      <c r="T10" s="31"/>
      <c r="U10" s="31"/>
      <c r="V10" s="31"/>
      <c r="W10" s="31"/>
      <c r="X10" s="29"/>
      <c r="Y10" s="29"/>
      <c r="Z10" s="29"/>
      <c r="AA10" s="29"/>
      <c r="AB10" s="30"/>
      <c r="AC10" s="30"/>
      <c r="AD10" s="29"/>
      <c r="AE10" s="33"/>
      <c r="AF10" s="29"/>
      <c r="AG10" s="29"/>
      <c r="AH10" s="44"/>
    </row>
    <row r="11" spans="1:34">
      <c r="A11" s="43"/>
      <c r="B11" s="29" t="s">
        <v>426</v>
      </c>
      <c r="C11" s="29" t="s">
        <v>433</v>
      </c>
      <c r="D11" s="29" t="s">
        <v>435</v>
      </c>
      <c r="E11" s="29" t="s">
        <v>436</v>
      </c>
      <c r="F11" s="29" t="s">
        <v>436</v>
      </c>
      <c r="G11" s="29">
        <v>3400000592</v>
      </c>
      <c r="H11" s="29" t="s">
        <v>443</v>
      </c>
      <c r="I11" s="32" t="s">
        <v>515</v>
      </c>
      <c r="J11" s="29" t="s">
        <v>427</v>
      </c>
      <c r="K11" s="49"/>
      <c r="L11" s="47"/>
      <c r="M11" s="46"/>
      <c r="N11" s="47">
        <v>45479</v>
      </c>
      <c r="O11" s="50"/>
      <c r="P11" s="29"/>
      <c r="Q11" s="31"/>
      <c r="R11" s="31"/>
      <c r="S11" s="31"/>
      <c r="T11" s="31"/>
      <c r="U11" s="31"/>
      <c r="V11" s="31"/>
      <c r="W11" s="31"/>
      <c r="X11" s="29"/>
      <c r="Y11" s="29"/>
      <c r="Z11" s="29"/>
      <c r="AA11" s="29"/>
      <c r="AB11" s="30"/>
      <c r="AC11" s="30"/>
      <c r="AD11" s="29"/>
      <c r="AE11" s="33"/>
      <c r="AF11" s="29"/>
      <c r="AG11" s="29"/>
      <c r="AH11" s="44"/>
    </row>
    <row r="12" spans="1:34">
      <c r="A12" s="43"/>
      <c r="B12" s="29" t="s">
        <v>426</v>
      </c>
      <c r="C12" s="29" t="s">
        <v>433</v>
      </c>
      <c r="D12" s="29" t="s">
        <v>435</v>
      </c>
      <c r="E12" s="29" t="s">
        <v>436</v>
      </c>
      <c r="F12" s="29" t="s">
        <v>436</v>
      </c>
      <c r="G12" s="29">
        <v>3400000592</v>
      </c>
      <c r="H12" s="29" t="s">
        <v>444</v>
      </c>
      <c r="I12" s="32" t="s">
        <v>516</v>
      </c>
      <c r="J12" s="29" t="s">
        <v>427</v>
      </c>
      <c r="K12" s="49"/>
      <c r="L12" s="47"/>
      <c r="M12" s="46"/>
      <c r="N12" s="47">
        <v>45545</v>
      </c>
      <c r="O12" s="50"/>
      <c r="P12" s="29"/>
      <c r="Q12" s="31"/>
      <c r="R12" s="31"/>
      <c r="S12" s="31"/>
      <c r="T12" s="31"/>
      <c r="U12" s="31"/>
      <c r="V12" s="31"/>
      <c r="W12" s="31"/>
      <c r="X12" s="29"/>
      <c r="Y12" s="29"/>
      <c r="Z12" s="29"/>
      <c r="AA12" s="29"/>
      <c r="AB12" s="30"/>
      <c r="AC12" s="30"/>
      <c r="AD12" s="29"/>
      <c r="AE12" s="33"/>
      <c r="AF12" s="29"/>
      <c r="AG12" s="29"/>
      <c r="AH12" s="44"/>
    </row>
    <row r="13" spans="1:34">
      <c r="A13" s="43"/>
      <c r="B13" s="29" t="s">
        <v>426</v>
      </c>
      <c r="C13" s="29" t="s">
        <v>433</v>
      </c>
      <c r="D13" s="29" t="s">
        <v>435</v>
      </c>
      <c r="E13" s="29" t="s">
        <v>436</v>
      </c>
      <c r="F13" s="29" t="s">
        <v>436</v>
      </c>
      <c r="G13" s="29">
        <v>3400000592</v>
      </c>
      <c r="H13" s="29" t="s">
        <v>445</v>
      </c>
      <c r="I13" s="32" t="s">
        <v>517</v>
      </c>
      <c r="J13" s="29" t="s">
        <v>427</v>
      </c>
      <c r="K13" s="49"/>
      <c r="L13" s="47"/>
      <c r="M13" s="46"/>
      <c r="N13" s="47">
        <v>45597</v>
      </c>
      <c r="O13" s="50"/>
      <c r="P13" s="29"/>
      <c r="Q13" s="31"/>
      <c r="R13" s="31"/>
      <c r="S13" s="31"/>
      <c r="T13" s="31"/>
      <c r="U13" s="31"/>
      <c r="V13" s="31"/>
      <c r="W13" s="31"/>
      <c r="X13" s="29"/>
      <c r="Y13" s="29"/>
      <c r="Z13" s="29"/>
      <c r="AA13" s="29"/>
      <c r="AB13" s="30"/>
      <c r="AC13" s="30"/>
      <c r="AD13" s="29"/>
      <c r="AE13" s="34"/>
      <c r="AF13" s="29"/>
      <c r="AG13" s="29"/>
      <c r="AH13" s="44"/>
    </row>
    <row r="14" spans="1:34">
      <c r="A14" s="43"/>
      <c r="B14" s="29" t="s">
        <v>426</v>
      </c>
      <c r="C14" s="29" t="s">
        <v>433</v>
      </c>
      <c r="D14" s="29" t="s">
        <v>435</v>
      </c>
      <c r="E14" s="29" t="s">
        <v>436</v>
      </c>
      <c r="F14" s="29" t="s">
        <v>436</v>
      </c>
      <c r="G14" s="29">
        <v>3400000592</v>
      </c>
      <c r="H14" s="29" t="s">
        <v>446</v>
      </c>
      <c r="I14" s="32" t="s">
        <v>518</v>
      </c>
      <c r="J14" s="29" t="s">
        <v>427</v>
      </c>
      <c r="K14" s="49"/>
      <c r="L14" s="47"/>
      <c r="M14" s="46"/>
      <c r="N14" s="47">
        <v>45628</v>
      </c>
      <c r="O14" s="50"/>
      <c r="P14" s="29"/>
      <c r="Q14" s="31"/>
      <c r="R14" s="31"/>
      <c r="S14" s="31"/>
      <c r="T14" s="31"/>
      <c r="U14" s="31"/>
      <c r="V14" s="31"/>
      <c r="W14" s="31"/>
      <c r="X14" s="29"/>
      <c r="Y14" s="29"/>
      <c r="Z14" s="29"/>
      <c r="AA14" s="29"/>
      <c r="AB14" s="30"/>
      <c r="AC14" s="30"/>
      <c r="AD14" s="29"/>
      <c r="AE14" s="33"/>
      <c r="AF14" s="29"/>
      <c r="AG14" s="29"/>
      <c r="AH14" s="44"/>
    </row>
    <row r="15" spans="1:34">
      <c r="A15" s="43"/>
      <c r="B15" s="29" t="s">
        <v>426</v>
      </c>
      <c r="C15" s="29" t="s">
        <v>433</v>
      </c>
      <c r="D15" s="29" t="s">
        <v>435</v>
      </c>
      <c r="E15" s="29" t="s">
        <v>436</v>
      </c>
      <c r="F15" s="29" t="s">
        <v>436</v>
      </c>
      <c r="G15" s="29">
        <v>3400000592</v>
      </c>
      <c r="H15" s="29" t="s">
        <v>447</v>
      </c>
      <c r="I15" s="32" t="s">
        <v>519</v>
      </c>
      <c r="J15" s="29" t="s">
        <v>427</v>
      </c>
      <c r="K15" s="49"/>
      <c r="L15" s="47"/>
      <c r="M15" s="46"/>
      <c r="N15" s="47">
        <v>45643</v>
      </c>
      <c r="O15" s="50"/>
      <c r="P15" s="29"/>
      <c r="Q15" s="31"/>
      <c r="R15" s="31"/>
      <c r="S15" s="31"/>
      <c r="T15" s="31"/>
      <c r="U15" s="31"/>
      <c r="V15" s="31"/>
      <c r="W15" s="31"/>
      <c r="X15" s="29"/>
      <c r="Y15" s="29"/>
      <c r="Z15" s="29"/>
      <c r="AA15" s="29"/>
      <c r="AB15" s="30"/>
      <c r="AC15" s="30"/>
      <c r="AD15" s="29"/>
      <c r="AE15" s="33"/>
      <c r="AF15" s="29"/>
      <c r="AG15" s="29"/>
      <c r="AH15" s="44"/>
    </row>
    <row r="16" spans="1:34">
      <c r="A16" s="43"/>
      <c r="B16" s="29" t="s">
        <v>426</v>
      </c>
      <c r="C16" s="29" t="s">
        <v>433</v>
      </c>
      <c r="D16" s="29" t="s">
        <v>435</v>
      </c>
      <c r="E16" s="29" t="s">
        <v>436</v>
      </c>
      <c r="F16" s="29" t="s">
        <v>436</v>
      </c>
      <c r="G16" s="29">
        <v>3400000592</v>
      </c>
      <c r="H16" s="29" t="s">
        <v>448</v>
      </c>
      <c r="I16" s="32" t="s">
        <v>520</v>
      </c>
      <c r="J16" s="29" t="s">
        <v>427</v>
      </c>
      <c r="K16" s="49"/>
      <c r="L16" s="47"/>
      <c r="M16" s="46"/>
      <c r="N16" s="47">
        <v>45686</v>
      </c>
      <c r="O16" s="50"/>
      <c r="P16" s="29"/>
      <c r="Q16" s="31"/>
      <c r="R16" s="31"/>
      <c r="S16" s="31"/>
      <c r="T16" s="31"/>
      <c r="U16" s="31"/>
      <c r="V16" s="31"/>
      <c r="W16" s="31"/>
      <c r="X16" s="29"/>
      <c r="Y16" s="29"/>
      <c r="Z16" s="29"/>
      <c r="AA16" s="29"/>
      <c r="AB16" s="30"/>
      <c r="AC16" s="30"/>
      <c r="AD16" s="29"/>
      <c r="AE16" s="33"/>
      <c r="AF16" s="29"/>
      <c r="AG16" s="29"/>
      <c r="AH16" s="44"/>
    </row>
    <row r="17" spans="1:34">
      <c r="A17" s="43"/>
      <c r="B17" s="29" t="s">
        <v>426</v>
      </c>
      <c r="C17" s="29" t="s">
        <v>433</v>
      </c>
      <c r="D17" s="29" t="s">
        <v>435</v>
      </c>
      <c r="E17" s="29" t="s">
        <v>436</v>
      </c>
      <c r="F17" s="29" t="s">
        <v>436</v>
      </c>
      <c r="G17" s="29">
        <v>3400000592</v>
      </c>
      <c r="H17" s="29" t="s">
        <v>449</v>
      </c>
      <c r="I17" s="32" t="s">
        <v>521</v>
      </c>
      <c r="J17" s="29" t="s">
        <v>427</v>
      </c>
      <c r="K17" s="49"/>
      <c r="L17" s="47"/>
      <c r="M17" s="46"/>
      <c r="N17" s="47">
        <v>45719</v>
      </c>
      <c r="O17" s="50"/>
      <c r="P17" s="29"/>
      <c r="Q17" s="31"/>
      <c r="R17" s="31"/>
      <c r="S17" s="31"/>
      <c r="T17" s="31"/>
      <c r="U17" s="31"/>
      <c r="V17" s="31"/>
      <c r="W17" s="31"/>
      <c r="X17" s="29"/>
      <c r="Y17" s="29"/>
      <c r="Z17" s="29"/>
      <c r="AA17" s="29"/>
      <c r="AB17" s="30"/>
      <c r="AC17" s="30"/>
      <c r="AD17" s="29"/>
      <c r="AE17" s="33"/>
      <c r="AF17" s="29"/>
      <c r="AG17" s="29"/>
      <c r="AH17" s="44"/>
    </row>
    <row r="18" spans="1:34">
      <c r="A18" s="43"/>
      <c r="B18" s="29" t="s">
        <v>426</v>
      </c>
      <c r="C18" s="29" t="s">
        <v>433</v>
      </c>
      <c r="D18" s="29" t="s">
        <v>435</v>
      </c>
      <c r="E18" s="29" t="s">
        <v>436</v>
      </c>
      <c r="F18" s="29" t="s">
        <v>436</v>
      </c>
      <c r="G18" s="29">
        <v>3400000592</v>
      </c>
      <c r="H18" s="29" t="s">
        <v>450</v>
      </c>
      <c r="I18" s="32" t="s">
        <v>522</v>
      </c>
      <c r="J18" s="29" t="s">
        <v>432</v>
      </c>
      <c r="K18" s="49"/>
      <c r="L18" s="47"/>
      <c r="M18" s="46"/>
      <c r="N18" s="47">
        <v>45663</v>
      </c>
      <c r="O18" s="50"/>
      <c r="P18" s="29"/>
      <c r="Q18" s="31"/>
      <c r="R18" s="31"/>
      <c r="S18" s="31"/>
      <c r="T18" s="31"/>
      <c r="U18" s="31"/>
      <c r="V18" s="31"/>
      <c r="W18" s="31"/>
      <c r="X18" s="29"/>
      <c r="Y18" s="29"/>
      <c r="Z18" s="29"/>
      <c r="AA18" s="29"/>
      <c r="AB18" s="30"/>
      <c r="AC18" s="30"/>
      <c r="AD18" s="29"/>
      <c r="AE18" s="33"/>
      <c r="AF18" s="29"/>
      <c r="AG18" s="29"/>
      <c r="AH18" s="44"/>
    </row>
    <row r="19" spans="1:34">
      <c r="A19" s="43"/>
      <c r="B19" s="29" t="s">
        <v>426</v>
      </c>
      <c r="C19" s="29" t="s">
        <v>433</v>
      </c>
      <c r="D19" s="29" t="s">
        <v>435</v>
      </c>
      <c r="E19" s="29" t="s">
        <v>436</v>
      </c>
      <c r="F19" s="29" t="s">
        <v>436</v>
      </c>
      <c r="G19" s="29">
        <v>3400000592</v>
      </c>
      <c r="H19" s="29" t="s">
        <v>451</v>
      </c>
      <c r="I19" s="32" t="s">
        <v>523</v>
      </c>
      <c r="J19" s="29" t="s">
        <v>430</v>
      </c>
      <c r="K19" s="49"/>
      <c r="L19" s="47"/>
      <c r="M19" s="46"/>
      <c r="N19" s="47">
        <v>45683</v>
      </c>
      <c r="O19" s="50"/>
      <c r="P19" s="29"/>
      <c r="Q19" s="31"/>
      <c r="R19" s="31"/>
      <c r="S19" s="31"/>
      <c r="T19" s="31"/>
      <c r="U19" s="31"/>
      <c r="V19" s="31"/>
      <c r="W19" s="31"/>
      <c r="X19" s="29"/>
      <c r="Y19" s="29"/>
      <c r="Z19" s="29"/>
      <c r="AA19" s="29"/>
      <c r="AB19" s="30"/>
      <c r="AC19" s="30"/>
      <c r="AD19" s="29"/>
      <c r="AE19" s="33"/>
      <c r="AF19" s="29"/>
      <c r="AG19" s="29"/>
      <c r="AH19" s="44"/>
    </row>
    <row r="20" spans="1:34">
      <c r="A20" s="43"/>
      <c r="B20" s="29" t="s">
        <v>426</v>
      </c>
      <c r="C20" s="29" t="s">
        <v>433</v>
      </c>
      <c r="D20" s="29" t="s">
        <v>435</v>
      </c>
      <c r="E20" s="29" t="s">
        <v>436</v>
      </c>
      <c r="F20" s="29" t="s">
        <v>436</v>
      </c>
      <c r="G20" s="29">
        <v>3400000592</v>
      </c>
      <c r="H20" s="29" t="s">
        <v>452</v>
      </c>
      <c r="I20" s="32" t="s">
        <v>524</v>
      </c>
      <c r="J20" s="29" t="s">
        <v>430</v>
      </c>
      <c r="K20" s="49"/>
      <c r="L20" s="47"/>
      <c r="M20" s="46"/>
      <c r="N20" s="47">
        <v>45635</v>
      </c>
      <c r="O20" s="50"/>
      <c r="P20" s="29"/>
      <c r="Q20" s="31"/>
      <c r="R20" s="31"/>
      <c r="S20" s="31"/>
      <c r="T20" s="31"/>
      <c r="U20" s="31"/>
      <c r="V20" s="31"/>
      <c r="W20" s="31"/>
      <c r="X20" s="29"/>
      <c r="Y20" s="29"/>
      <c r="Z20" s="29"/>
      <c r="AA20" s="29"/>
      <c r="AB20" s="30"/>
      <c r="AC20" s="30"/>
      <c r="AD20" s="29"/>
      <c r="AE20" s="33"/>
      <c r="AF20" s="29"/>
      <c r="AG20" s="29"/>
      <c r="AH20" s="44"/>
    </row>
    <row r="21" spans="1:34">
      <c r="A21" s="43"/>
      <c r="B21" s="29" t="s">
        <v>426</v>
      </c>
      <c r="C21" s="29" t="s">
        <v>433</v>
      </c>
      <c r="D21" s="29" t="s">
        <v>435</v>
      </c>
      <c r="E21" s="29" t="s">
        <v>436</v>
      </c>
      <c r="F21" s="29" t="s">
        <v>436</v>
      </c>
      <c r="G21" s="29">
        <v>3400000592</v>
      </c>
      <c r="H21" s="29" t="s">
        <v>453</v>
      </c>
      <c r="I21" s="32" t="s">
        <v>525</v>
      </c>
      <c r="J21" s="29" t="s">
        <v>430</v>
      </c>
      <c r="K21" s="49"/>
      <c r="L21" s="47"/>
      <c r="M21" s="46"/>
      <c r="N21" s="47">
        <v>45714</v>
      </c>
      <c r="O21" s="50"/>
      <c r="P21" s="29"/>
      <c r="Q21" s="31"/>
      <c r="R21" s="31"/>
      <c r="S21" s="31"/>
      <c r="T21" s="31"/>
      <c r="U21" s="31"/>
      <c r="V21" s="31"/>
      <c r="W21" s="31"/>
      <c r="X21" s="29"/>
      <c r="Y21" s="29"/>
      <c r="Z21" s="29"/>
      <c r="AA21" s="29"/>
      <c r="AB21" s="30"/>
      <c r="AC21" s="30"/>
      <c r="AD21" s="29"/>
      <c r="AE21" s="33"/>
      <c r="AF21" s="29"/>
      <c r="AG21" s="29"/>
      <c r="AH21" s="44"/>
    </row>
    <row r="22" spans="1:34">
      <c r="A22" s="43"/>
      <c r="B22" s="29" t="s">
        <v>426</v>
      </c>
      <c r="C22" s="29" t="s">
        <v>433</v>
      </c>
      <c r="D22" s="29" t="s">
        <v>435</v>
      </c>
      <c r="E22" s="29" t="s">
        <v>436</v>
      </c>
      <c r="F22" s="29" t="s">
        <v>436</v>
      </c>
      <c r="G22" s="29">
        <v>3400000592</v>
      </c>
      <c r="H22" s="29" t="s">
        <v>454</v>
      </c>
      <c r="I22" s="32" t="s">
        <v>526</v>
      </c>
      <c r="J22" s="29" t="s">
        <v>430</v>
      </c>
      <c r="K22" s="49"/>
      <c r="L22" s="47"/>
      <c r="M22" s="46"/>
      <c r="N22" s="47">
        <v>45752</v>
      </c>
      <c r="O22" s="50"/>
      <c r="P22" s="29"/>
      <c r="Q22" s="31"/>
      <c r="R22" s="31"/>
      <c r="S22" s="31"/>
      <c r="T22" s="31"/>
      <c r="U22" s="31"/>
      <c r="V22" s="31"/>
      <c r="W22" s="31"/>
      <c r="X22" s="29"/>
      <c r="Y22" s="29"/>
      <c r="Z22" s="29"/>
      <c r="AA22" s="29"/>
      <c r="AB22" s="30"/>
      <c r="AC22" s="30"/>
      <c r="AD22" s="29"/>
      <c r="AE22" s="33"/>
      <c r="AF22" s="29"/>
      <c r="AG22" s="29"/>
      <c r="AH22" s="44"/>
    </row>
    <row r="23" spans="1:34">
      <c r="A23" s="43"/>
      <c r="B23" s="29" t="s">
        <v>426</v>
      </c>
      <c r="C23" s="29" t="s">
        <v>433</v>
      </c>
      <c r="D23" s="29" t="s">
        <v>435</v>
      </c>
      <c r="E23" s="29" t="s">
        <v>436</v>
      </c>
      <c r="F23" s="29" t="s">
        <v>436</v>
      </c>
      <c r="G23" s="29">
        <v>3400000592</v>
      </c>
      <c r="H23" s="29" t="s">
        <v>455</v>
      </c>
      <c r="I23" s="32" t="s">
        <v>527</v>
      </c>
      <c r="J23" s="29" t="s">
        <v>430</v>
      </c>
      <c r="K23" s="49"/>
      <c r="L23" s="47"/>
      <c r="M23" s="46"/>
      <c r="N23" s="47">
        <v>45755</v>
      </c>
      <c r="O23" s="50"/>
      <c r="P23" s="29"/>
      <c r="Q23" s="31"/>
      <c r="R23" s="31"/>
      <c r="S23" s="31"/>
      <c r="T23" s="31"/>
      <c r="U23" s="31"/>
      <c r="V23" s="31"/>
      <c r="W23" s="31"/>
      <c r="X23" s="29"/>
      <c r="Y23" s="29"/>
      <c r="Z23" s="29"/>
      <c r="AA23" s="29"/>
      <c r="AB23" s="30"/>
      <c r="AC23" s="30"/>
      <c r="AD23" s="29"/>
      <c r="AE23" s="33"/>
      <c r="AF23" s="29"/>
      <c r="AG23" s="29"/>
      <c r="AH23" s="44"/>
    </row>
    <row r="24" spans="1:34">
      <c r="A24" s="43"/>
      <c r="B24" s="29" t="s">
        <v>426</v>
      </c>
      <c r="C24" s="29" t="s">
        <v>433</v>
      </c>
      <c r="D24" s="29" t="s">
        <v>435</v>
      </c>
      <c r="E24" s="29" t="s">
        <v>437</v>
      </c>
      <c r="F24" s="29" t="s">
        <v>437</v>
      </c>
      <c r="G24" s="29">
        <v>3400000674</v>
      </c>
      <c r="H24" s="29" t="s">
        <v>456</v>
      </c>
      <c r="I24" s="32" t="s">
        <v>528</v>
      </c>
      <c r="J24" s="29" t="s">
        <v>428</v>
      </c>
      <c r="K24" s="49"/>
      <c r="L24" s="47"/>
      <c r="M24" s="46"/>
      <c r="N24" s="47">
        <v>45787</v>
      </c>
      <c r="O24" s="50"/>
      <c r="P24" s="29"/>
      <c r="Q24" s="31"/>
      <c r="R24" s="31"/>
      <c r="S24" s="31"/>
      <c r="T24" s="31"/>
      <c r="U24" s="31"/>
      <c r="V24" s="31"/>
      <c r="W24" s="31"/>
      <c r="X24" s="29"/>
      <c r="Y24" s="29"/>
      <c r="Z24" s="29"/>
      <c r="AA24" s="29"/>
      <c r="AB24" s="30"/>
      <c r="AC24" s="30"/>
      <c r="AD24" s="29"/>
      <c r="AE24" s="33"/>
      <c r="AF24" s="29"/>
      <c r="AG24" s="29"/>
      <c r="AH24" s="44"/>
    </row>
    <row r="25" spans="1:34">
      <c r="A25" s="43"/>
      <c r="B25" s="29" t="s">
        <v>426</v>
      </c>
      <c r="C25" s="29" t="s">
        <v>433</v>
      </c>
      <c r="D25" s="29" t="s">
        <v>435</v>
      </c>
      <c r="E25" s="29" t="s">
        <v>437</v>
      </c>
      <c r="F25" s="29" t="s">
        <v>437</v>
      </c>
      <c r="G25" s="29">
        <v>3400000674</v>
      </c>
      <c r="H25" s="29" t="s">
        <v>457</v>
      </c>
      <c r="I25" s="32" t="s">
        <v>529</v>
      </c>
      <c r="J25" s="29" t="s">
        <v>429</v>
      </c>
      <c r="K25" s="49"/>
      <c r="L25" s="47"/>
      <c r="M25" s="46"/>
      <c r="N25" s="47">
        <v>45790</v>
      </c>
      <c r="O25" s="50"/>
      <c r="P25" s="29"/>
      <c r="Q25" s="31"/>
      <c r="R25" s="31"/>
      <c r="S25" s="31"/>
      <c r="T25" s="31"/>
      <c r="U25" s="31"/>
      <c r="V25" s="31"/>
      <c r="W25" s="31"/>
      <c r="X25" s="29"/>
      <c r="Y25" s="29"/>
      <c r="Z25" s="29"/>
      <c r="AA25" s="29"/>
      <c r="AB25" s="30"/>
      <c r="AC25" s="30"/>
      <c r="AD25" s="29"/>
      <c r="AE25" s="33"/>
      <c r="AF25" s="29"/>
      <c r="AG25" s="29"/>
      <c r="AH25" s="44"/>
    </row>
    <row r="26" spans="1:34">
      <c r="A26" s="43"/>
      <c r="B26" s="29" t="s">
        <v>426</v>
      </c>
      <c r="C26" s="29" t="s">
        <v>433</v>
      </c>
      <c r="D26" s="29" t="s">
        <v>435</v>
      </c>
      <c r="E26" s="29" t="s">
        <v>437</v>
      </c>
      <c r="F26" s="29" t="s">
        <v>437</v>
      </c>
      <c r="G26" s="29">
        <v>3400000674</v>
      </c>
      <c r="H26" s="29" t="s">
        <v>458</v>
      </c>
      <c r="I26" s="32" t="s">
        <v>530</v>
      </c>
      <c r="J26" s="29" t="s">
        <v>430</v>
      </c>
      <c r="K26" s="49"/>
      <c r="L26" s="47"/>
      <c r="M26" s="46"/>
      <c r="N26" s="47">
        <v>45780</v>
      </c>
      <c r="O26" s="50"/>
      <c r="P26" s="29"/>
      <c r="Q26" s="31"/>
      <c r="R26" s="31"/>
      <c r="S26" s="31"/>
      <c r="T26" s="31"/>
      <c r="U26" s="31"/>
      <c r="V26" s="31"/>
      <c r="W26" s="31"/>
      <c r="X26" s="29"/>
      <c r="Y26" s="29"/>
      <c r="Z26" s="29"/>
      <c r="AA26" s="29"/>
      <c r="AB26" s="30"/>
      <c r="AC26" s="30"/>
      <c r="AD26" s="29"/>
      <c r="AE26" s="33"/>
      <c r="AF26" s="29"/>
      <c r="AG26" s="29"/>
      <c r="AH26" s="44"/>
    </row>
    <row r="27" spans="1:34">
      <c r="A27" s="43"/>
      <c r="B27" s="29" t="s">
        <v>426</v>
      </c>
      <c r="C27" s="29" t="s">
        <v>433</v>
      </c>
      <c r="D27" s="29" t="s">
        <v>435</v>
      </c>
      <c r="E27" s="29" t="s">
        <v>437</v>
      </c>
      <c r="F27" s="29" t="s">
        <v>437</v>
      </c>
      <c r="G27" s="29">
        <v>3400000674</v>
      </c>
      <c r="H27" s="29" t="s">
        <v>459</v>
      </c>
      <c r="I27" s="32" t="s">
        <v>531</v>
      </c>
      <c r="J27" s="29" t="s">
        <v>432</v>
      </c>
      <c r="K27" s="49"/>
      <c r="L27" s="47"/>
      <c r="M27" s="46"/>
      <c r="N27" s="47">
        <v>45693</v>
      </c>
      <c r="O27" s="50"/>
      <c r="P27" s="29"/>
      <c r="Q27" s="31"/>
      <c r="R27" s="31"/>
      <c r="S27" s="31"/>
      <c r="T27" s="31"/>
      <c r="U27" s="31"/>
      <c r="V27" s="31"/>
      <c r="W27" s="31"/>
      <c r="X27" s="29"/>
      <c r="Y27" s="29"/>
      <c r="Z27" s="29"/>
      <c r="AA27" s="29"/>
      <c r="AB27" s="30"/>
      <c r="AC27" s="30"/>
      <c r="AD27" s="29"/>
      <c r="AE27" s="33"/>
      <c r="AF27" s="29"/>
      <c r="AG27" s="29"/>
      <c r="AH27" s="44"/>
    </row>
    <row r="28" spans="1:34">
      <c r="A28" s="43"/>
      <c r="B28" s="29" t="s">
        <v>426</v>
      </c>
      <c r="C28" s="29" t="s">
        <v>433</v>
      </c>
      <c r="D28" s="29" t="s">
        <v>435</v>
      </c>
      <c r="E28" s="29" t="s">
        <v>437</v>
      </c>
      <c r="F28" s="29" t="s">
        <v>437</v>
      </c>
      <c r="G28" s="29">
        <v>3400000674</v>
      </c>
      <c r="H28" s="29" t="s">
        <v>460</v>
      </c>
      <c r="I28" s="32" t="s">
        <v>532</v>
      </c>
      <c r="J28" s="29" t="s">
        <v>427</v>
      </c>
      <c r="K28" s="49"/>
      <c r="L28" s="47"/>
      <c r="M28" s="46"/>
      <c r="N28" s="47">
        <v>45277</v>
      </c>
      <c r="O28" s="50"/>
      <c r="P28" s="29"/>
      <c r="Q28" s="31"/>
      <c r="R28" s="31"/>
      <c r="S28" s="31"/>
      <c r="T28" s="31"/>
      <c r="U28" s="31"/>
      <c r="V28" s="31"/>
      <c r="W28" s="31"/>
      <c r="X28" s="29"/>
      <c r="Y28" s="29"/>
      <c r="Z28" s="29"/>
      <c r="AA28" s="29"/>
      <c r="AB28" s="30"/>
      <c r="AC28" s="30"/>
      <c r="AD28" s="29"/>
      <c r="AE28" s="33"/>
      <c r="AF28" s="29"/>
      <c r="AG28" s="29"/>
      <c r="AH28" s="44"/>
    </row>
    <row r="29" spans="1:34">
      <c r="A29" s="43"/>
      <c r="B29" s="29" t="s">
        <v>426</v>
      </c>
      <c r="C29" s="29" t="s">
        <v>433</v>
      </c>
      <c r="D29" s="29" t="s">
        <v>435</v>
      </c>
      <c r="E29" s="29" t="s">
        <v>437</v>
      </c>
      <c r="F29" s="29" t="s">
        <v>437</v>
      </c>
      <c r="G29" s="29">
        <v>3400000674</v>
      </c>
      <c r="H29" s="29" t="s">
        <v>461</v>
      </c>
      <c r="I29" s="32" t="s">
        <v>533</v>
      </c>
      <c r="J29" s="29" t="s">
        <v>427</v>
      </c>
      <c r="K29" s="49"/>
      <c r="L29" s="47"/>
      <c r="M29" s="46"/>
      <c r="N29" s="47">
        <v>45286</v>
      </c>
      <c r="O29" s="50"/>
      <c r="P29" s="29"/>
      <c r="Q29" s="31"/>
      <c r="R29" s="31"/>
      <c r="S29" s="31"/>
      <c r="T29" s="31"/>
      <c r="U29" s="31"/>
      <c r="V29" s="31"/>
      <c r="W29" s="31"/>
      <c r="X29" s="29"/>
      <c r="Y29" s="29"/>
      <c r="Z29" s="29"/>
      <c r="AA29" s="29"/>
      <c r="AB29" s="30"/>
      <c r="AC29" s="30"/>
      <c r="AD29" s="29"/>
      <c r="AE29" s="33"/>
      <c r="AF29" s="29"/>
      <c r="AG29" s="29"/>
      <c r="AH29" s="44"/>
    </row>
    <row r="30" spans="1:34">
      <c r="A30" s="43"/>
      <c r="B30" s="29" t="s">
        <v>426</v>
      </c>
      <c r="C30" s="29" t="s">
        <v>433</v>
      </c>
      <c r="D30" s="29" t="s">
        <v>435</v>
      </c>
      <c r="E30" s="29" t="s">
        <v>437</v>
      </c>
      <c r="F30" s="29" t="s">
        <v>437</v>
      </c>
      <c r="G30" s="29">
        <v>3400000674</v>
      </c>
      <c r="H30" s="29" t="s">
        <v>462</v>
      </c>
      <c r="I30" s="32" t="s">
        <v>534</v>
      </c>
      <c r="J30" s="29" t="s">
        <v>427</v>
      </c>
      <c r="K30" s="49"/>
      <c r="L30" s="47"/>
      <c r="M30" s="46"/>
      <c r="N30" s="47">
        <v>45286</v>
      </c>
      <c r="O30" s="50"/>
      <c r="P30" s="29"/>
      <c r="Q30" s="31"/>
      <c r="R30" s="31"/>
      <c r="S30" s="31"/>
      <c r="T30" s="31"/>
      <c r="U30" s="31"/>
      <c r="V30" s="31"/>
      <c r="W30" s="31"/>
      <c r="X30" s="29"/>
      <c r="Y30" s="29"/>
      <c r="Z30" s="29"/>
      <c r="AA30" s="29"/>
      <c r="AB30" s="30"/>
      <c r="AC30" s="30"/>
      <c r="AD30" s="29"/>
      <c r="AE30" s="33"/>
      <c r="AF30" s="29"/>
      <c r="AG30" s="29"/>
      <c r="AH30" s="44"/>
    </row>
    <row r="31" spans="1:34">
      <c r="A31" s="43"/>
      <c r="B31" s="29" t="s">
        <v>426</v>
      </c>
      <c r="C31" s="29" t="s">
        <v>433</v>
      </c>
      <c r="D31" s="29" t="s">
        <v>435</v>
      </c>
      <c r="E31" s="29" t="s">
        <v>437</v>
      </c>
      <c r="F31" s="29" t="s">
        <v>437</v>
      </c>
      <c r="G31" s="29">
        <v>3400000674</v>
      </c>
      <c r="H31" s="29" t="s">
        <v>463</v>
      </c>
      <c r="I31" s="32" t="s">
        <v>535</v>
      </c>
      <c r="J31" s="29" t="s">
        <v>427</v>
      </c>
      <c r="K31" s="49"/>
      <c r="L31" s="47"/>
      <c r="M31" s="46"/>
      <c r="N31" s="47">
        <v>45425</v>
      </c>
      <c r="O31" s="50"/>
      <c r="P31" s="29"/>
      <c r="Q31" s="31"/>
      <c r="R31" s="31"/>
      <c r="S31" s="31"/>
      <c r="T31" s="31"/>
      <c r="U31" s="31"/>
      <c r="V31" s="31"/>
      <c r="W31" s="31"/>
      <c r="X31" s="29"/>
      <c r="Y31" s="29"/>
      <c r="Z31" s="29"/>
      <c r="AA31" s="29"/>
      <c r="AB31" s="30"/>
      <c r="AC31" s="30"/>
      <c r="AD31" s="29"/>
      <c r="AE31" s="33"/>
      <c r="AF31" s="29"/>
      <c r="AG31" s="29"/>
      <c r="AH31" s="44"/>
    </row>
    <row r="32" spans="1:34">
      <c r="A32" s="43"/>
      <c r="B32" s="29" t="s">
        <v>426</v>
      </c>
      <c r="C32" s="29" t="s">
        <v>433</v>
      </c>
      <c r="D32" s="29" t="s">
        <v>435</v>
      </c>
      <c r="E32" s="29" t="s">
        <v>437</v>
      </c>
      <c r="F32" s="29" t="s">
        <v>437</v>
      </c>
      <c r="G32" s="29">
        <v>3400000674</v>
      </c>
      <c r="H32" s="29" t="s">
        <v>464</v>
      </c>
      <c r="I32" s="32" t="s">
        <v>536</v>
      </c>
      <c r="J32" s="29" t="s">
        <v>427</v>
      </c>
      <c r="K32" s="49"/>
      <c r="L32" s="47"/>
      <c r="M32" s="46"/>
      <c r="N32" s="47">
        <v>45539</v>
      </c>
      <c r="O32" s="51"/>
      <c r="P32" s="29"/>
      <c r="Q32" s="31"/>
      <c r="R32" s="31"/>
      <c r="S32" s="31"/>
      <c r="T32" s="31"/>
      <c r="U32" s="31"/>
      <c r="V32" s="31"/>
      <c r="W32" s="31"/>
      <c r="X32" s="29"/>
      <c r="Y32" s="29"/>
      <c r="Z32" s="29"/>
      <c r="AA32" s="29"/>
      <c r="AB32" s="30"/>
      <c r="AC32" s="30"/>
      <c r="AD32" s="29"/>
      <c r="AE32" s="33"/>
      <c r="AF32" s="29"/>
      <c r="AG32" s="29"/>
      <c r="AH32" s="44"/>
    </row>
    <row r="33" spans="1:34">
      <c r="A33" s="43"/>
      <c r="B33" s="29" t="s">
        <v>426</v>
      </c>
      <c r="C33" s="29" t="s">
        <v>433</v>
      </c>
      <c r="D33" s="29" t="s">
        <v>435</v>
      </c>
      <c r="E33" s="29" t="s">
        <v>437</v>
      </c>
      <c r="F33" s="29" t="s">
        <v>437</v>
      </c>
      <c r="G33" s="29">
        <v>3400000674</v>
      </c>
      <c r="H33" s="29" t="s">
        <v>465</v>
      </c>
      <c r="I33" s="32" t="s">
        <v>537</v>
      </c>
      <c r="J33" s="29" t="s">
        <v>427</v>
      </c>
      <c r="K33" s="49"/>
      <c r="L33" s="47"/>
      <c r="M33" s="46"/>
      <c r="N33" s="47">
        <v>45542</v>
      </c>
      <c r="O33" s="51"/>
      <c r="P33" s="29"/>
      <c r="Q33" s="31"/>
      <c r="R33" s="31"/>
      <c r="S33" s="31"/>
      <c r="T33" s="31"/>
      <c r="U33" s="31"/>
      <c r="V33" s="31"/>
      <c r="W33" s="31"/>
      <c r="X33" s="29"/>
      <c r="Y33" s="29"/>
      <c r="Z33" s="29"/>
      <c r="AA33" s="29"/>
      <c r="AB33" s="30"/>
      <c r="AC33" s="30"/>
      <c r="AD33" s="29"/>
      <c r="AE33" s="33"/>
      <c r="AF33" s="29"/>
      <c r="AG33" s="29"/>
      <c r="AH33" s="44"/>
    </row>
    <row r="34" spans="1:34">
      <c r="A34" s="43"/>
      <c r="B34" s="29" t="s">
        <v>426</v>
      </c>
      <c r="C34" s="29" t="s">
        <v>433</v>
      </c>
      <c r="D34" s="29" t="s">
        <v>435</v>
      </c>
      <c r="E34" s="29" t="s">
        <v>437</v>
      </c>
      <c r="F34" s="29" t="s">
        <v>437</v>
      </c>
      <c r="G34" s="29">
        <v>3400000674</v>
      </c>
      <c r="H34" s="29" t="s">
        <v>466</v>
      </c>
      <c r="I34" s="32" t="s">
        <v>538</v>
      </c>
      <c r="J34" s="29" t="s">
        <v>427</v>
      </c>
      <c r="K34" s="49"/>
      <c r="L34" s="47"/>
      <c r="M34" s="46"/>
      <c r="N34" s="47">
        <v>45545</v>
      </c>
      <c r="O34" s="51"/>
      <c r="P34" s="29"/>
      <c r="Q34" s="31"/>
      <c r="R34" s="31"/>
      <c r="S34" s="31"/>
      <c r="T34" s="31"/>
      <c r="U34" s="31"/>
      <c r="V34" s="31"/>
      <c r="W34" s="31"/>
      <c r="X34" s="29"/>
      <c r="Y34" s="29"/>
      <c r="Z34" s="29"/>
      <c r="AA34" s="29"/>
      <c r="AB34" s="30"/>
      <c r="AC34" s="30"/>
      <c r="AD34" s="29"/>
      <c r="AE34" s="34"/>
      <c r="AF34" s="29"/>
      <c r="AG34" s="29"/>
      <c r="AH34" s="44"/>
    </row>
    <row r="35" spans="1:34">
      <c r="A35" s="43"/>
      <c r="B35" s="29" t="s">
        <v>426</v>
      </c>
      <c r="C35" s="29" t="s">
        <v>433</v>
      </c>
      <c r="D35" s="29" t="s">
        <v>435</v>
      </c>
      <c r="E35" s="29" t="s">
        <v>437</v>
      </c>
      <c r="F35" s="29" t="s">
        <v>437</v>
      </c>
      <c r="G35" s="29">
        <v>3400000674</v>
      </c>
      <c r="H35" s="29" t="s">
        <v>467</v>
      </c>
      <c r="I35" s="32" t="s">
        <v>539</v>
      </c>
      <c r="J35" s="29" t="s">
        <v>427</v>
      </c>
      <c r="K35" s="49"/>
      <c r="L35" s="47"/>
      <c r="M35" s="46"/>
      <c r="N35" s="47">
        <v>45551</v>
      </c>
      <c r="O35" s="51"/>
      <c r="P35" s="29"/>
      <c r="Q35" s="31"/>
      <c r="R35" s="31"/>
      <c r="S35" s="31"/>
      <c r="T35" s="31"/>
      <c r="U35" s="31"/>
      <c r="V35" s="31"/>
      <c r="W35" s="31"/>
      <c r="X35" s="29"/>
      <c r="Y35" s="29"/>
      <c r="Z35" s="29"/>
      <c r="AA35" s="29"/>
      <c r="AB35" s="30"/>
      <c r="AC35" s="30"/>
      <c r="AD35" s="29"/>
      <c r="AE35" s="33"/>
      <c r="AF35" s="29"/>
      <c r="AG35" s="29"/>
      <c r="AH35" s="44"/>
    </row>
    <row r="36" spans="1:34">
      <c r="A36" s="43"/>
      <c r="B36" s="29" t="s">
        <v>426</v>
      </c>
      <c r="C36" s="29" t="s">
        <v>433</v>
      </c>
      <c r="D36" s="29" t="s">
        <v>435</v>
      </c>
      <c r="E36" s="29" t="s">
        <v>437</v>
      </c>
      <c r="F36" s="29" t="s">
        <v>437</v>
      </c>
      <c r="G36" s="29">
        <v>3400000674</v>
      </c>
      <c r="H36" s="29" t="s">
        <v>468</v>
      </c>
      <c r="I36" s="32" t="s">
        <v>540</v>
      </c>
      <c r="J36" s="29" t="s">
        <v>427</v>
      </c>
      <c r="K36" s="49"/>
      <c r="L36" s="47"/>
      <c r="M36" s="46"/>
      <c r="N36" s="47">
        <v>45561</v>
      </c>
      <c r="O36" s="51"/>
      <c r="P36" s="29"/>
      <c r="Q36" s="31"/>
      <c r="R36" s="31"/>
      <c r="S36" s="31"/>
      <c r="T36" s="31"/>
      <c r="U36" s="31"/>
      <c r="V36" s="31"/>
      <c r="W36" s="31"/>
      <c r="X36" s="29"/>
      <c r="Y36" s="29"/>
      <c r="Z36" s="29"/>
      <c r="AA36" s="29"/>
      <c r="AB36" s="30"/>
      <c r="AC36" s="30"/>
      <c r="AD36" s="29"/>
      <c r="AE36" s="33"/>
      <c r="AF36" s="29"/>
      <c r="AG36" s="29"/>
      <c r="AH36" s="44"/>
    </row>
    <row r="37" spans="1:34">
      <c r="A37" s="43"/>
      <c r="B37" s="29" t="s">
        <v>426</v>
      </c>
      <c r="C37" s="29" t="s">
        <v>433</v>
      </c>
      <c r="D37" s="29" t="s">
        <v>435</v>
      </c>
      <c r="E37" s="29" t="s">
        <v>437</v>
      </c>
      <c r="F37" s="29" t="s">
        <v>437</v>
      </c>
      <c r="G37" s="29">
        <v>3400000674</v>
      </c>
      <c r="H37" s="29" t="s">
        <v>469</v>
      </c>
      <c r="I37" s="32" t="s">
        <v>541</v>
      </c>
      <c r="J37" s="29" t="s">
        <v>427</v>
      </c>
      <c r="K37" s="49"/>
      <c r="L37" s="47"/>
      <c r="M37" s="46"/>
      <c r="N37" s="47">
        <v>45591</v>
      </c>
      <c r="O37" s="51"/>
      <c r="P37" s="29"/>
      <c r="Q37" s="31"/>
      <c r="R37" s="31"/>
      <c r="S37" s="31"/>
      <c r="T37" s="31"/>
      <c r="U37" s="31"/>
      <c r="V37" s="31"/>
      <c r="W37" s="31"/>
      <c r="X37" s="29"/>
      <c r="Y37" s="29"/>
      <c r="Z37" s="29"/>
      <c r="AA37" s="29"/>
      <c r="AB37" s="30"/>
      <c r="AC37" s="30"/>
      <c r="AD37" s="29"/>
      <c r="AE37" s="33"/>
      <c r="AF37" s="29"/>
      <c r="AG37" s="29"/>
      <c r="AH37" s="44"/>
    </row>
    <row r="38" spans="1:34">
      <c r="A38" s="43"/>
      <c r="B38" s="29" t="s">
        <v>426</v>
      </c>
      <c r="C38" s="29" t="s">
        <v>433</v>
      </c>
      <c r="D38" s="29" t="s">
        <v>435</v>
      </c>
      <c r="E38" s="29" t="s">
        <v>437</v>
      </c>
      <c r="F38" s="29" t="s">
        <v>437</v>
      </c>
      <c r="G38" s="29">
        <v>3400000674</v>
      </c>
      <c r="H38" s="29" t="s">
        <v>470</v>
      </c>
      <c r="I38" s="32" t="s">
        <v>542</v>
      </c>
      <c r="J38" s="29" t="s">
        <v>427</v>
      </c>
      <c r="K38" s="49"/>
      <c r="L38" s="47"/>
      <c r="M38" s="46"/>
      <c r="N38" s="47">
        <v>45658</v>
      </c>
      <c r="O38" s="51"/>
      <c r="P38" s="29"/>
      <c r="Q38" s="31"/>
      <c r="R38" s="31"/>
      <c r="S38" s="31"/>
      <c r="T38" s="31"/>
      <c r="U38" s="31"/>
      <c r="V38" s="31"/>
      <c r="W38" s="31"/>
      <c r="X38" s="29"/>
      <c r="Y38" s="29"/>
      <c r="Z38" s="29"/>
      <c r="AA38" s="29"/>
      <c r="AB38" s="30"/>
      <c r="AC38" s="30"/>
      <c r="AD38" s="29"/>
      <c r="AE38" s="33"/>
      <c r="AF38" s="29"/>
      <c r="AG38" s="29"/>
      <c r="AH38" s="44"/>
    </row>
    <row r="39" spans="1:34">
      <c r="A39" s="43"/>
      <c r="B39" s="29" t="s">
        <v>426</v>
      </c>
      <c r="C39" s="29" t="s">
        <v>433</v>
      </c>
      <c r="D39" s="29" t="s">
        <v>435</v>
      </c>
      <c r="E39" s="29" t="s">
        <v>437</v>
      </c>
      <c r="F39" s="29" t="s">
        <v>437</v>
      </c>
      <c r="G39" s="29">
        <v>3400000674</v>
      </c>
      <c r="H39" s="29" t="s">
        <v>471</v>
      </c>
      <c r="I39" s="32" t="s">
        <v>543</v>
      </c>
      <c r="J39" s="29" t="s">
        <v>427</v>
      </c>
      <c r="K39" s="49"/>
      <c r="L39" s="47"/>
      <c r="M39" s="46"/>
      <c r="N39" s="47">
        <v>45661</v>
      </c>
      <c r="O39" s="51"/>
      <c r="P39" s="29"/>
      <c r="Q39" s="31"/>
      <c r="R39" s="31"/>
      <c r="S39" s="31"/>
      <c r="T39" s="31"/>
      <c r="U39" s="31"/>
      <c r="V39" s="31"/>
      <c r="W39" s="31"/>
      <c r="X39" s="29"/>
      <c r="Y39" s="29"/>
      <c r="Z39" s="29"/>
      <c r="AA39" s="29"/>
      <c r="AB39" s="30"/>
      <c r="AC39" s="30"/>
      <c r="AD39" s="29"/>
      <c r="AE39" s="33"/>
      <c r="AF39" s="29"/>
      <c r="AG39" s="29"/>
      <c r="AH39" s="44"/>
    </row>
    <row r="40" spans="1:34">
      <c r="A40" s="43"/>
      <c r="B40" s="29" t="s">
        <v>426</v>
      </c>
      <c r="C40" s="29" t="s">
        <v>433</v>
      </c>
      <c r="D40" s="29" t="s">
        <v>435</v>
      </c>
      <c r="E40" s="29" t="s">
        <v>437</v>
      </c>
      <c r="F40" s="29" t="s">
        <v>437</v>
      </c>
      <c r="G40" s="29">
        <v>3400000674</v>
      </c>
      <c r="H40" s="29" t="s">
        <v>472</v>
      </c>
      <c r="I40" s="32" t="s">
        <v>523</v>
      </c>
      <c r="J40" s="29" t="s">
        <v>427</v>
      </c>
      <c r="K40" s="49"/>
      <c r="L40" s="47"/>
      <c r="M40" s="46"/>
      <c r="N40" s="47">
        <v>45662</v>
      </c>
      <c r="O40" s="51"/>
      <c r="P40" s="29"/>
      <c r="Q40" s="31"/>
      <c r="R40" s="31"/>
      <c r="S40" s="31"/>
      <c r="T40" s="31"/>
      <c r="U40" s="31"/>
      <c r="V40" s="31"/>
      <c r="W40" s="31"/>
      <c r="X40" s="29"/>
      <c r="Y40" s="29"/>
      <c r="Z40" s="29"/>
      <c r="AA40" s="29"/>
      <c r="AB40" s="30"/>
      <c r="AC40" s="30"/>
      <c r="AD40" s="29"/>
      <c r="AE40" s="33"/>
      <c r="AF40" s="29"/>
      <c r="AG40" s="29"/>
      <c r="AH40" s="44"/>
    </row>
    <row r="41" spans="1:34">
      <c r="A41" s="43"/>
      <c r="B41" s="29" t="s">
        <v>426</v>
      </c>
      <c r="C41" s="29" t="s">
        <v>433</v>
      </c>
      <c r="D41" s="29" t="s">
        <v>435</v>
      </c>
      <c r="E41" s="29" t="s">
        <v>437</v>
      </c>
      <c r="F41" s="29" t="s">
        <v>437</v>
      </c>
      <c r="G41" s="29">
        <v>3400000674</v>
      </c>
      <c r="H41" s="29" t="s">
        <v>473</v>
      </c>
      <c r="I41" s="32" t="s">
        <v>544</v>
      </c>
      <c r="J41" s="29" t="s">
        <v>431</v>
      </c>
      <c r="K41" s="49"/>
      <c r="L41" s="47"/>
      <c r="M41" s="46"/>
      <c r="N41" s="47">
        <v>45599</v>
      </c>
      <c r="O41" s="51"/>
      <c r="P41" s="29"/>
      <c r="Q41" s="31"/>
      <c r="R41" s="31"/>
      <c r="S41" s="31"/>
      <c r="T41" s="31"/>
      <c r="U41" s="31"/>
      <c r="V41" s="31"/>
      <c r="W41" s="31"/>
      <c r="X41" s="29"/>
      <c r="Y41" s="29"/>
      <c r="Z41" s="29"/>
      <c r="AA41" s="29"/>
      <c r="AB41" s="51"/>
      <c r="AC41" s="30"/>
      <c r="AD41" s="29"/>
      <c r="AE41" s="33"/>
      <c r="AF41" s="29"/>
      <c r="AG41" s="29"/>
      <c r="AH41" s="44"/>
    </row>
    <row r="42" spans="1:34">
      <c r="A42" s="43"/>
      <c r="B42" s="29" t="s">
        <v>426</v>
      </c>
      <c r="C42" s="29" t="s">
        <v>433</v>
      </c>
      <c r="D42" s="29" t="s">
        <v>435</v>
      </c>
      <c r="E42" s="29" t="s">
        <v>437</v>
      </c>
      <c r="F42" s="29" t="s">
        <v>437</v>
      </c>
      <c r="G42" s="29">
        <v>3400000674</v>
      </c>
      <c r="H42" s="29" t="s">
        <v>474</v>
      </c>
      <c r="I42" s="32" t="s">
        <v>545</v>
      </c>
      <c r="J42" s="29" t="s">
        <v>430</v>
      </c>
      <c r="K42" s="49"/>
      <c r="L42" s="47"/>
      <c r="M42" s="46"/>
      <c r="N42" s="47">
        <v>45655</v>
      </c>
      <c r="O42" s="52"/>
      <c r="P42" s="29"/>
      <c r="Q42" s="31"/>
      <c r="R42" s="31"/>
      <c r="S42" s="31"/>
      <c r="T42" s="31"/>
      <c r="U42" s="31"/>
      <c r="V42" s="31"/>
      <c r="W42" s="31"/>
      <c r="X42" s="29"/>
      <c r="Y42" s="29"/>
      <c r="Z42" s="29"/>
      <c r="AA42" s="29"/>
      <c r="AB42" s="51"/>
      <c r="AC42" s="30"/>
      <c r="AD42" s="29"/>
      <c r="AE42" s="33"/>
      <c r="AF42" s="29"/>
      <c r="AG42" s="29"/>
      <c r="AH42" s="44"/>
    </row>
    <row r="43" spans="1:34">
      <c r="A43" s="43"/>
      <c r="B43" s="29" t="s">
        <v>426</v>
      </c>
      <c r="C43" s="29" t="s">
        <v>433</v>
      </c>
      <c r="D43" s="29" t="s">
        <v>435</v>
      </c>
      <c r="E43" s="29" t="s">
        <v>437</v>
      </c>
      <c r="F43" s="29" t="s">
        <v>437</v>
      </c>
      <c r="G43" s="29">
        <v>3400000674</v>
      </c>
      <c r="H43" s="29" t="s">
        <v>475</v>
      </c>
      <c r="I43" s="32" t="s">
        <v>546</v>
      </c>
      <c r="J43" s="29" t="s">
        <v>430</v>
      </c>
      <c r="K43" s="49"/>
      <c r="L43" s="47"/>
      <c r="M43" s="46"/>
      <c r="N43" s="47">
        <v>45699</v>
      </c>
      <c r="O43" s="51"/>
      <c r="P43" s="29"/>
      <c r="Q43" s="31"/>
      <c r="R43" s="31"/>
      <c r="S43" s="31"/>
      <c r="T43" s="31"/>
      <c r="U43" s="31"/>
      <c r="V43" s="31"/>
      <c r="W43" s="31"/>
      <c r="X43" s="29"/>
      <c r="Y43" s="29"/>
      <c r="Z43" s="29"/>
      <c r="AA43" s="29"/>
      <c r="AB43" s="30"/>
      <c r="AC43" s="30"/>
      <c r="AD43" s="29"/>
      <c r="AE43" s="33"/>
      <c r="AF43" s="29"/>
      <c r="AG43" s="29"/>
      <c r="AH43" s="44"/>
    </row>
    <row r="44" spans="1:34">
      <c r="A44" s="43"/>
      <c r="B44" s="29" t="s">
        <v>426</v>
      </c>
      <c r="C44" s="29" t="s">
        <v>433</v>
      </c>
      <c r="D44" s="29" t="s">
        <v>435</v>
      </c>
      <c r="E44" s="29" t="s">
        <v>437</v>
      </c>
      <c r="F44" s="29" t="s">
        <v>437</v>
      </c>
      <c r="G44" s="29">
        <v>3400000674</v>
      </c>
      <c r="H44" s="29" t="s">
        <v>476</v>
      </c>
      <c r="I44" s="32" t="s">
        <v>547</v>
      </c>
      <c r="J44" s="29" t="s">
        <v>430</v>
      </c>
      <c r="K44" s="49"/>
      <c r="L44" s="47"/>
      <c r="M44" s="46"/>
      <c r="N44" s="47">
        <v>45699</v>
      </c>
      <c r="O44" s="51"/>
      <c r="P44" s="29"/>
      <c r="Q44" s="31"/>
      <c r="R44" s="31"/>
      <c r="S44" s="31"/>
      <c r="T44" s="31"/>
      <c r="U44" s="31"/>
      <c r="V44" s="31"/>
      <c r="W44" s="31"/>
      <c r="X44" s="29"/>
      <c r="Y44" s="29"/>
      <c r="Z44" s="29"/>
      <c r="AA44" s="29"/>
      <c r="AB44" s="30"/>
      <c r="AC44" s="30"/>
      <c r="AD44" s="29"/>
      <c r="AE44" s="33"/>
      <c r="AF44" s="29"/>
      <c r="AG44" s="29"/>
      <c r="AH44" s="44"/>
    </row>
    <row r="45" spans="1:34">
      <c r="A45" s="43"/>
      <c r="B45" s="29" t="s">
        <v>426</v>
      </c>
      <c r="C45" s="29" t="s">
        <v>433</v>
      </c>
      <c r="D45" s="29" t="s">
        <v>435</v>
      </c>
      <c r="E45" s="29" t="s">
        <v>437</v>
      </c>
      <c r="F45" s="29" t="s">
        <v>437</v>
      </c>
      <c r="G45" s="29">
        <v>3400000674</v>
      </c>
      <c r="H45" s="29" t="s">
        <v>477</v>
      </c>
      <c r="I45" s="32" t="s">
        <v>548</v>
      </c>
      <c r="J45" s="29" t="s">
        <v>430</v>
      </c>
      <c r="K45" s="49"/>
      <c r="L45" s="47"/>
      <c r="M45" s="46"/>
      <c r="N45" s="47">
        <v>45699</v>
      </c>
      <c r="O45" s="51"/>
      <c r="P45" s="29"/>
      <c r="Q45" s="31"/>
      <c r="R45" s="31"/>
      <c r="S45" s="31"/>
      <c r="T45" s="31"/>
      <c r="U45" s="31"/>
      <c r="V45" s="31"/>
      <c r="W45" s="31"/>
      <c r="X45" s="29"/>
      <c r="Y45" s="29"/>
      <c r="Z45" s="29"/>
      <c r="AA45" s="29"/>
      <c r="AB45" s="30"/>
      <c r="AC45" s="30"/>
      <c r="AD45" s="29"/>
      <c r="AE45" s="33"/>
      <c r="AF45" s="29"/>
      <c r="AG45" s="29"/>
      <c r="AH45" s="44"/>
    </row>
    <row r="46" spans="1:34">
      <c r="A46" s="43"/>
      <c r="B46" s="29" t="s">
        <v>426</v>
      </c>
      <c r="C46" s="29" t="s">
        <v>433</v>
      </c>
      <c r="D46" s="29" t="s">
        <v>435</v>
      </c>
      <c r="E46" s="29" t="s">
        <v>437</v>
      </c>
      <c r="F46" s="29" t="s">
        <v>437</v>
      </c>
      <c r="G46" s="29">
        <v>3400000674</v>
      </c>
      <c r="H46" s="29" t="s">
        <v>478</v>
      </c>
      <c r="I46" s="32" t="s">
        <v>549</v>
      </c>
      <c r="J46" s="29" t="s">
        <v>430</v>
      </c>
      <c r="K46" s="49"/>
      <c r="L46" s="47"/>
      <c r="M46" s="46"/>
      <c r="N46" s="47">
        <v>45699</v>
      </c>
      <c r="O46" s="51"/>
      <c r="P46" s="29"/>
      <c r="Q46" s="31"/>
      <c r="R46" s="31"/>
      <c r="S46" s="31"/>
      <c r="T46" s="31"/>
      <c r="U46" s="31"/>
      <c r="V46" s="31"/>
      <c r="W46" s="31"/>
      <c r="X46" s="29"/>
      <c r="Y46" s="29"/>
      <c r="Z46" s="29"/>
      <c r="AA46" s="29"/>
      <c r="AB46" s="30"/>
      <c r="AC46" s="30"/>
      <c r="AD46" s="29"/>
      <c r="AE46" s="33"/>
      <c r="AF46" s="29"/>
      <c r="AG46" s="29"/>
      <c r="AH46" s="44"/>
    </row>
    <row r="47" spans="1:34">
      <c r="A47" s="43"/>
      <c r="B47" s="29" t="s">
        <v>426</v>
      </c>
      <c r="C47" s="29" t="s">
        <v>433</v>
      </c>
      <c r="D47" s="29" t="s">
        <v>435</v>
      </c>
      <c r="E47" s="29" t="s">
        <v>437</v>
      </c>
      <c r="F47" s="29" t="s">
        <v>437</v>
      </c>
      <c r="G47" s="29">
        <v>3400000674</v>
      </c>
      <c r="H47" s="29" t="s">
        <v>479</v>
      </c>
      <c r="I47" s="32" t="s">
        <v>550</v>
      </c>
      <c r="J47" s="29" t="s">
        <v>430</v>
      </c>
      <c r="K47" s="49"/>
      <c r="L47" s="47"/>
      <c r="M47" s="46"/>
      <c r="N47" s="47">
        <v>45699</v>
      </c>
      <c r="O47" s="51"/>
      <c r="P47" s="29"/>
      <c r="Q47" s="31"/>
      <c r="R47" s="31"/>
      <c r="S47" s="31"/>
      <c r="T47" s="31"/>
      <c r="U47" s="31"/>
      <c r="V47" s="31"/>
      <c r="W47" s="31"/>
      <c r="X47" s="29"/>
      <c r="Y47" s="29"/>
      <c r="Z47" s="29"/>
      <c r="AA47" s="29"/>
      <c r="AB47" s="30"/>
      <c r="AC47" s="30"/>
      <c r="AD47" s="29"/>
      <c r="AE47" s="33"/>
      <c r="AF47" s="29"/>
      <c r="AG47" s="29"/>
      <c r="AH47" s="44"/>
    </row>
    <row r="48" spans="1:34">
      <c r="A48" s="43"/>
      <c r="B48" s="29" t="s">
        <v>426</v>
      </c>
      <c r="C48" s="29" t="s">
        <v>433</v>
      </c>
      <c r="D48" s="29" t="s">
        <v>435</v>
      </c>
      <c r="E48" s="29" t="s">
        <v>437</v>
      </c>
      <c r="F48" s="29" t="s">
        <v>437</v>
      </c>
      <c r="G48" s="29">
        <v>3400000674</v>
      </c>
      <c r="H48" s="29" t="s">
        <v>480</v>
      </c>
      <c r="I48" s="32" t="s">
        <v>551</v>
      </c>
      <c r="J48" s="29" t="s">
        <v>430</v>
      </c>
      <c r="K48" s="49"/>
      <c r="L48" s="47"/>
      <c r="M48" s="46"/>
      <c r="N48" s="47">
        <v>45683</v>
      </c>
      <c r="O48" s="51"/>
      <c r="P48" s="29"/>
      <c r="Q48" s="31"/>
      <c r="R48" s="31"/>
      <c r="S48" s="31"/>
      <c r="T48" s="31"/>
      <c r="U48" s="31"/>
      <c r="V48" s="31"/>
      <c r="W48" s="31"/>
      <c r="X48" s="29"/>
      <c r="Y48" s="29"/>
      <c r="Z48" s="29"/>
      <c r="AA48" s="29"/>
      <c r="AB48" s="30"/>
      <c r="AC48" s="30"/>
      <c r="AD48" s="29"/>
      <c r="AE48" s="33"/>
      <c r="AF48" s="29"/>
      <c r="AG48" s="29"/>
      <c r="AH48" s="44"/>
    </row>
    <row r="49" spans="1:34">
      <c r="A49" s="43"/>
      <c r="B49" s="29" t="s">
        <v>426</v>
      </c>
      <c r="C49" s="29" t="s">
        <v>433</v>
      </c>
      <c r="D49" s="29" t="s">
        <v>435</v>
      </c>
      <c r="E49" s="29" t="s">
        <v>437</v>
      </c>
      <c r="F49" s="29" t="s">
        <v>437</v>
      </c>
      <c r="G49" s="29">
        <v>3400000674</v>
      </c>
      <c r="H49" s="29" t="s">
        <v>481</v>
      </c>
      <c r="I49" s="32" t="s">
        <v>552</v>
      </c>
      <c r="J49" s="29" t="s">
        <v>430</v>
      </c>
      <c r="K49" s="49"/>
      <c r="L49" s="47"/>
      <c r="M49" s="46"/>
      <c r="N49" s="47">
        <v>45753</v>
      </c>
      <c r="O49" s="51"/>
      <c r="P49" s="29"/>
      <c r="Q49" s="31"/>
      <c r="R49" s="31"/>
      <c r="S49" s="31"/>
      <c r="T49" s="31"/>
      <c r="U49" s="31"/>
      <c r="V49" s="31"/>
      <c r="W49" s="31"/>
      <c r="X49" s="29"/>
      <c r="Y49" s="29"/>
      <c r="Z49" s="29"/>
      <c r="AA49" s="29"/>
      <c r="AB49" s="30"/>
      <c r="AC49" s="30"/>
      <c r="AD49" s="29"/>
      <c r="AE49" s="33"/>
      <c r="AF49" s="29"/>
      <c r="AG49" s="29"/>
      <c r="AH49" s="44"/>
    </row>
    <row r="50" spans="1:34">
      <c r="A50" s="43"/>
      <c r="B50" s="29" t="s">
        <v>426</v>
      </c>
      <c r="C50" s="29" t="s">
        <v>433</v>
      </c>
      <c r="D50" s="29" t="s">
        <v>435</v>
      </c>
      <c r="E50" s="29" t="s">
        <v>77</v>
      </c>
      <c r="F50" s="29" t="s">
        <v>77</v>
      </c>
      <c r="G50" s="29">
        <v>3400000640</v>
      </c>
      <c r="H50" s="29" t="s">
        <v>482</v>
      </c>
      <c r="I50" s="32" t="s">
        <v>553</v>
      </c>
      <c r="J50" s="29" t="s">
        <v>580</v>
      </c>
      <c r="K50" s="49"/>
      <c r="L50" s="47"/>
      <c r="M50" s="46"/>
      <c r="N50" s="47">
        <v>45713</v>
      </c>
      <c r="O50" s="51"/>
      <c r="P50" s="29"/>
      <c r="Q50" s="31"/>
      <c r="R50" s="31"/>
      <c r="S50" s="31"/>
      <c r="T50" s="31"/>
      <c r="U50" s="31"/>
      <c r="V50" s="31"/>
      <c r="W50" s="31"/>
      <c r="X50" s="29"/>
      <c r="Y50" s="29"/>
      <c r="Z50" s="29"/>
      <c r="AA50" s="29"/>
      <c r="AB50" s="30"/>
      <c r="AC50" s="30"/>
      <c r="AD50" s="29"/>
      <c r="AE50" s="33"/>
      <c r="AF50" s="29"/>
      <c r="AG50" s="29"/>
      <c r="AH50" s="44"/>
    </row>
    <row r="51" spans="1:34">
      <c r="A51" s="43"/>
      <c r="B51" s="29" t="s">
        <v>426</v>
      </c>
      <c r="C51" s="29" t="s">
        <v>433</v>
      </c>
      <c r="D51" s="29" t="s">
        <v>435</v>
      </c>
      <c r="E51" s="29" t="s">
        <v>77</v>
      </c>
      <c r="F51" s="29" t="s">
        <v>77</v>
      </c>
      <c r="G51" s="29">
        <v>3400000640</v>
      </c>
      <c r="H51" s="29" t="s">
        <v>483</v>
      </c>
      <c r="I51" s="32" t="s">
        <v>554</v>
      </c>
      <c r="J51" s="29" t="s">
        <v>428</v>
      </c>
      <c r="K51" s="49"/>
      <c r="L51" s="47"/>
      <c r="M51" s="46"/>
      <c r="N51" s="47">
        <v>45662</v>
      </c>
      <c r="O51" s="51"/>
      <c r="P51" s="29"/>
      <c r="Q51" s="31"/>
      <c r="R51" s="31"/>
      <c r="S51" s="31"/>
      <c r="T51" s="31"/>
      <c r="U51" s="31"/>
      <c r="V51" s="31"/>
      <c r="W51" s="31"/>
      <c r="X51" s="29"/>
      <c r="Y51" s="29"/>
      <c r="Z51" s="29"/>
      <c r="AA51" s="29"/>
      <c r="AB51" s="30"/>
      <c r="AC51" s="30"/>
      <c r="AD51" s="29"/>
      <c r="AE51" s="33"/>
      <c r="AF51" s="29"/>
      <c r="AG51" s="29"/>
      <c r="AH51" s="44"/>
    </row>
    <row r="52" spans="1:34">
      <c r="A52" s="43"/>
      <c r="B52" s="29" t="s">
        <v>426</v>
      </c>
      <c r="C52" s="29" t="s">
        <v>433</v>
      </c>
      <c r="D52" s="29" t="s">
        <v>435</v>
      </c>
      <c r="E52" s="29" t="s">
        <v>77</v>
      </c>
      <c r="F52" s="29" t="s">
        <v>77</v>
      </c>
      <c r="G52" s="29">
        <v>3400000640</v>
      </c>
      <c r="H52" s="29" t="s">
        <v>484</v>
      </c>
      <c r="I52" s="32" t="s">
        <v>555</v>
      </c>
      <c r="J52" s="29" t="s">
        <v>429</v>
      </c>
      <c r="K52" s="49"/>
      <c r="L52" s="47"/>
      <c r="M52" s="46"/>
      <c r="N52" s="47">
        <v>45708</v>
      </c>
      <c r="O52" s="51"/>
      <c r="P52" s="29"/>
      <c r="Q52" s="31"/>
      <c r="R52" s="31"/>
      <c r="S52" s="31"/>
      <c r="T52" s="31"/>
      <c r="U52" s="31"/>
      <c r="V52" s="31"/>
      <c r="W52" s="31"/>
      <c r="X52" s="29"/>
      <c r="Y52" s="29"/>
      <c r="Z52" s="29"/>
      <c r="AA52" s="29"/>
      <c r="AB52" s="30"/>
      <c r="AC52" s="30"/>
      <c r="AD52" s="29"/>
      <c r="AE52" s="33"/>
      <c r="AF52" s="29"/>
      <c r="AG52" s="29"/>
      <c r="AH52" s="44"/>
    </row>
    <row r="53" spans="1:34">
      <c r="A53" s="43"/>
      <c r="B53" s="29" t="s">
        <v>426</v>
      </c>
      <c r="C53" s="29" t="s">
        <v>433</v>
      </c>
      <c r="D53" s="29" t="s">
        <v>435</v>
      </c>
      <c r="E53" s="29" t="s">
        <v>77</v>
      </c>
      <c r="F53" s="29" t="s">
        <v>77</v>
      </c>
      <c r="G53" s="29">
        <v>3400000640</v>
      </c>
      <c r="H53" s="29" t="s">
        <v>485</v>
      </c>
      <c r="I53" s="32" t="s">
        <v>556</v>
      </c>
      <c r="J53" s="29" t="s">
        <v>432</v>
      </c>
      <c r="K53" s="49"/>
      <c r="L53" s="47"/>
      <c r="M53" s="46"/>
      <c r="N53" s="47">
        <v>45773</v>
      </c>
      <c r="O53" s="51"/>
      <c r="P53" s="29"/>
      <c r="Q53" s="31"/>
      <c r="R53" s="31"/>
      <c r="S53" s="31"/>
      <c r="T53" s="31"/>
      <c r="U53" s="31"/>
      <c r="V53" s="31"/>
      <c r="W53" s="31"/>
      <c r="X53" s="29"/>
      <c r="Y53" s="29"/>
      <c r="Z53" s="29"/>
      <c r="AA53" s="29"/>
      <c r="AB53" s="30"/>
      <c r="AC53" s="30"/>
      <c r="AD53" s="29"/>
      <c r="AE53" s="33"/>
      <c r="AF53" s="29"/>
      <c r="AG53" s="29"/>
      <c r="AH53" s="44"/>
    </row>
    <row r="54" spans="1:34">
      <c r="A54" s="43"/>
      <c r="B54" s="29" t="s">
        <v>426</v>
      </c>
      <c r="C54" s="29" t="s">
        <v>433</v>
      </c>
      <c r="D54" s="29" t="s">
        <v>435</v>
      </c>
      <c r="E54" s="29" t="s">
        <v>77</v>
      </c>
      <c r="F54" s="29" t="s">
        <v>77</v>
      </c>
      <c r="G54" s="29">
        <v>3400000640</v>
      </c>
      <c r="H54" s="29" t="s">
        <v>486</v>
      </c>
      <c r="I54" s="32" t="s">
        <v>557</v>
      </c>
      <c r="J54" s="29" t="s">
        <v>427</v>
      </c>
      <c r="K54" s="49"/>
      <c r="L54" s="47"/>
      <c r="M54" s="46"/>
      <c r="N54" s="47">
        <v>45560</v>
      </c>
      <c r="O54" s="51"/>
      <c r="P54" s="29"/>
      <c r="Q54" s="31"/>
      <c r="R54" s="31"/>
      <c r="S54" s="31"/>
      <c r="T54" s="31"/>
      <c r="U54" s="31"/>
      <c r="V54" s="31"/>
      <c r="W54" s="31"/>
      <c r="X54" s="29"/>
      <c r="Y54" s="29"/>
      <c r="Z54" s="29"/>
      <c r="AA54" s="29"/>
      <c r="AB54" s="30"/>
      <c r="AC54" s="30"/>
      <c r="AD54" s="29"/>
      <c r="AE54" s="33"/>
      <c r="AF54" s="29"/>
      <c r="AG54" s="29"/>
      <c r="AH54" s="44"/>
    </row>
    <row r="55" spans="1:34">
      <c r="B55" s="21" t="s">
        <v>426</v>
      </c>
      <c r="C55" s="21" t="s">
        <v>433</v>
      </c>
      <c r="D55" s="21" t="s">
        <v>435</v>
      </c>
      <c r="E55" s="21" t="s">
        <v>77</v>
      </c>
      <c r="F55" s="21" t="s">
        <v>77</v>
      </c>
      <c r="G55" s="21">
        <v>3400000640</v>
      </c>
      <c r="H55" s="21" t="s">
        <v>487</v>
      </c>
      <c r="I55" s="27" t="s">
        <v>558</v>
      </c>
      <c r="J55" s="21" t="s">
        <v>427</v>
      </c>
      <c r="N55" s="22">
        <v>45514</v>
      </c>
    </row>
    <row r="56" spans="1:34">
      <c r="B56" s="21" t="s">
        <v>426</v>
      </c>
      <c r="C56" s="21" t="s">
        <v>433</v>
      </c>
      <c r="D56" s="21" t="s">
        <v>435</v>
      </c>
      <c r="E56" s="21" t="s">
        <v>77</v>
      </c>
      <c r="F56" s="21" t="s">
        <v>77</v>
      </c>
      <c r="G56" s="21">
        <v>3400000640</v>
      </c>
      <c r="H56" s="21" t="s">
        <v>488</v>
      </c>
      <c r="I56" s="27" t="s">
        <v>559</v>
      </c>
      <c r="J56" s="21" t="s">
        <v>427</v>
      </c>
      <c r="N56" s="22">
        <v>45545</v>
      </c>
    </row>
    <row r="57" spans="1:34">
      <c r="B57" s="21" t="s">
        <v>426</v>
      </c>
      <c r="C57" s="21" t="s">
        <v>433</v>
      </c>
      <c r="D57" s="21" t="s">
        <v>435</v>
      </c>
      <c r="E57" s="21" t="s">
        <v>77</v>
      </c>
      <c r="F57" s="21" t="s">
        <v>77</v>
      </c>
      <c r="G57" s="21">
        <v>3400000640</v>
      </c>
      <c r="H57" s="21" t="s">
        <v>489</v>
      </c>
      <c r="I57" s="27" t="s">
        <v>560</v>
      </c>
      <c r="J57" s="21" t="s">
        <v>430</v>
      </c>
      <c r="N57" s="22">
        <v>45665</v>
      </c>
    </row>
    <row r="58" spans="1:34">
      <c r="B58" s="21" t="s">
        <v>426</v>
      </c>
      <c r="C58" s="21" t="s">
        <v>433</v>
      </c>
      <c r="D58" s="21" t="s">
        <v>435</v>
      </c>
      <c r="E58" s="21" t="s">
        <v>77</v>
      </c>
      <c r="F58" s="21" t="s">
        <v>77</v>
      </c>
      <c r="G58" s="21">
        <v>3400000640</v>
      </c>
      <c r="H58" s="21" t="s">
        <v>490</v>
      </c>
      <c r="I58" s="27" t="s">
        <v>561</v>
      </c>
      <c r="J58" s="21" t="s">
        <v>430</v>
      </c>
      <c r="N58" s="22">
        <v>45658</v>
      </c>
    </row>
    <row r="59" spans="1:34">
      <c r="B59" s="21" t="s">
        <v>426</v>
      </c>
      <c r="C59" s="21" t="s">
        <v>433</v>
      </c>
      <c r="D59" s="21" t="s">
        <v>435</v>
      </c>
      <c r="E59" s="21" t="s">
        <v>77</v>
      </c>
      <c r="F59" s="21" t="s">
        <v>77</v>
      </c>
      <c r="G59" s="21">
        <v>3400000640</v>
      </c>
      <c r="H59" s="21" t="s">
        <v>491</v>
      </c>
      <c r="I59" s="27" t="s">
        <v>560</v>
      </c>
      <c r="J59" s="21" t="s">
        <v>430</v>
      </c>
      <c r="N59" s="22">
        <v>45694</v>
      </c>
    </row>
    <row r="60" spans="1:34">
      <c r="B60" s="21" t="s">
        <v>426</v>
      </c>
      <c r="C60" s="21" t="s">
        <v>433</v>
      </c>
      <c r="D60" s="21" t="s">
        <v>435</v>
      </c>
      <c r="E60" s="21" t="s">
        <v>77</v>
      </c>
      <c r="F60" s="21" t="s">
        <v>77</v>
      </c>
      <c r="G60" s="21">
        <v>3400000640</v>
      </c>
      <c r="H60" s="21" t="s">
        <v>492</v>
      </c>
      <c r="I60" s="27" t="s">
        <v>562</v>
      </c>
      <c r="J60" s="21" t="s">
        <v>430</v>
      </c>
      <c r="N60" s="22">
        <v>45766</v>
      </c>
    </row>
    <row r="61" spans="1:34">
      <c r="B61" s="21" t="s">
        <v>426</v>
      </c>
      <c r="C61" s="21" t="s">
        <v>434</v>
      </c>
      <c r="D61" s="21" t="s">
        <v>79</v>
      </c>
      <c r="E61" s="21" t="s">
        <v>27</v>
      </c>
      <c r="F61" s="21" t="s">
        <v>27</v>
      </c>
      <c r="G61" s="21">
        <v>3400000559</v>
      </c>
      <c r="H61" s="21" t="s">
        <v>493</v>
      </c>
      <c r="I61" s="27" t="s">
        <v>563</v>
      </c>
      <c r="J61" s="21" t="s">
        <v>427</v>
      </c>
      <c r="N61" s="22">
        <v>45143</v>
      </c>
    </row>
    <row r="62" spans="1:34">
      <c r="B62" s="21" t="s">
        <v>426</v>
      </c>
      <c r="C62" s="21" t="s">
        <v>434</v>
      </c>
      <c r="D62" s="21" t="s">
        <v>79</v>
      </c>
      <c r="E62" s="21" t="s">
        <v>27</v>
      </c>
      <c r="F62" s="21" t="s">
        <v>27</v>
      </c>
      <c r="G62" s="21">
        <v>3400000559</v>
      </c>
      <c r="H62" s="21" t="s">
        <v>494</v>
      </c>
      <c r="I62" s="27" t="s">
        <v>564</v>
      </c>
      <c r="J62" s="21" t="s">
        <v>427</v>
      </c>
      <c r="N62" s="22">
        <v>45353</v>
      </c>
    </row>
    <row r="63" spans="1:34">
      <c r="B63" s="21" t="s">
        <v>426</v>
      </c>
      <c r="C63" s="21" t="s">
        <v>434</v>
      </c>
      <c r="D63" s="21" t="s">
        <v>79</v>
      </c>
      <c r="E63" s="21" t="s">
        <v>27</v>
      </c>
      <c r="F63" s="21" t="s">
        <v>27</v>
      </c>
      <c r="G63" s="21">
        <v>3400000559</v>
      </c>
      <c r="H63" s="21" t="s">
        <v>495</v>
      </c>
      <c r="I63" s="27" t="s">
        <v>565</v>
      </c>
      <c r="J63" s="21" t="s">
        <v>427</v>
      </c>
      <c r="N63" s="22">
        <v>45508</v>
      </c>
    </row>
    <row r="64" spans="1:34">
      <c r="B64" s="21" t="s">
        <v>426</v>
      </c>
      <c r="C64" s="21" t="s">
        <v>434</v>
      </c>
      <c r="D64" s="21" t="s">
        <v>79</v>
      </c>
      <c r="E64" s="21" t="s">
        <v>27</v>
      </c>
      <c r="F64" s="21" t="s">
        <v>27</v>
      </c>
      <c r="G64" s="21">
        <v>3400000559</v>
      </c>
      <c r="H64" s="21" t="s">
        <v>496</v>
      </c>
      <c r="I64" s="27" t="s">
        <v>566</v>
      </c>
      <c r="J64" s="21" t="s">
        <v>427</v>
      </c>
      <c r="N64" s="22">
        <v>45543</v>
      </c>
    </row>
    <row r="65" spans="2:14">
      <c r="B65" s="21" t="s">
        <v>426</v>
      </c>
      <c r="C65" s="21" t="s">
        <v>434</v>
      </c>
      <c r="D65" s="21" t="s">
        <v>79</v>
      </c>
      <c r="E65" s="21" t="s">
        <v>27</v>
      </c>
      <c r="F65" s="21" t="s">
        <v>27</v>
      </c>
      <c r="G65" s="21">
        <v>3400000559</v>
      </c>
      <c r="H65" s="21" t="s">
        <v>497</v>
      </c>
      <c r="I65" s="27" t="s">
        <v>567</v>
      </c>
      <c r="J65" s="21" t="s">
        <v>427</v>
      </c>
      <c r="N65" s="22">
        <v>45550</v>
      </c>
    </row>
    <row r="66" spans="2:14">
      <c r="B66" s="21" t="s">
        <v>426</v>
      </c>
      <c r="C66" s="21" t="s">
        <v>434</v>
      </c>
      <c r="D66" s="21" t="s">
        <v>79</v>
      </c>
      <c r="E66" s="21" t="s">
        <v>27</v>
      </c>
      <c r="F66" s="21" t="s">
        <v>27</v>
      </c>
      <c r="G66" s="21">
        <v>3400000559</v>
      </c>
      <c r="H66" s="21" t="s">
        <v>498</v>
      </c>
      <c r="I66" s="27" t="s">
        <v>568</v>
      </c>
      <c r="J66" s="21" t="s">
        <v>428</v>
      </c>
      <c r="N66" s="22">
        <v>45595</v>
      </c>
    </row>
    <row r="67" spans="2:14">
      <c r="B67" s="21" t="s">
        <v>426</v>
      </c>
      <c r="C67" s="21" t="s">
        <v>434</v>
      </c>
      <c r="D67" s="21" t="s">
        <v>79</v>
      </c>
      <c r="E67" s="21" t="s">
        <v>27</v>
      </c>
      <c r="F67" s="21" t="s">
        <v>27</v>
      </c>
      <c r="G67" s="21">
        <v>3400000559</v>
      </c>
      <c r="H67" s="21" t="s">
        <v>499</v>
      </c>
      <c r="I67" s="27" t="s">
        <v>569</v>
      </c>
      <c r="J67" s="21" t="s">
        <v>432</v>
      </c>
      <c r="N67" s="22">
        <v>45585</v>
      </c>
    </row>
    <row r="68" spans="2:14">
      <c r="B68" s="21" t="s">
        <v>426</v>
      </c>
      <c r="C68" s="21" t="s">
        <v>434</v>
      </c>
      <c r="D68" s="21" t="s">
        <v>79</v>
      </c>
      <c r="E68" s="21" t="s">
        <v>27</v>
      </c>
      <c r="F68" s="21" t="s">
        <v>27</v>
      </c>
      <c r="G68" s="21">
        <v>3400000559</v>
      </c>
      <c r="H68" s="21" t="s">
        <v>500</v>
      </c>
      <c r="I68" s="27" t="s">
        <v>570</v>
      </c>
      <c r="J68" s="21" t="s">
        <v>429</v>
      </c>
      <c r="N68" s="22">
        <v>45627</v>
      </c>
    </row>
    <row r="69" spans="2:14">
      <c r="B69" s="21" t="s">
        <v>426</v>
      </c>
      <c r="C69" s="21" t="s">
        <v>434</v>
      </c>
      <c r="D69" s="21" t="s">
        <v>79</v>
      </c>
      <c r="E69" s="21" t="s">
        <v>27</v>
      </c>
      <c r="F69" s="21" t="s">
        <v>27</v>
      </c>
      <c r="G69" s="21">
        <v>3400000559</v>
      </c>
      <c r="H69" s="21" t="s">
        <v>501</v>
      </c>
      <c r="I69" s="27" t="s">
        <v>571</v>
      </c>
      <c r="J69" s="21" t="s">
        <v>430</v>
      </c>
      <c r="N69" s="22">
        <v>45658</v>
      </c>
    </row>
    <row r="70" spans="2:14">
      <c r="B70" s="21" t="s">
        <v>426</v>
      </c>
      <c r="C70" s="21" t="s">
        <v>434</v>
      </c>
      <c r="D70" s="21" t="s">
        <v>79</v>
      </c>
      <c r="E70" s="21" t="s">
        <v>27</v>
      </c>
      <c r="F70" s="21" t="s">
        <v>27</v>
      </c>
      <c r="G70" s="21">
        <v>3400000559</v>
      </c>
      <c r="H70" s="21" t="s">
        <v>502</v>
      </c>
      <c r="I70" s="27" t="s">
        <v>572</v>
      </c>
      <c r="J70" s="21" t="s">
        <v>427</v>
      </c>
      <c r="N70" s="22">
        <v>45703</v>
      </c>
    </row>
    <row r="71" spans="2:14">
      <c r="B71" s="21" t="s">
        <v>426</v>
      </c>
      <c r="C71" s="21" t="s">
        <v>434</v>
      </c>
      <c r="D71" s="21" t="s">
        <v>79</v>
      </c>
      <c r="E71" s="21" t="s">
        <v>27</v>
      </c>
      <c r="F71" s="21" t="s">
        <v>27</v>
      </c>
      <c r="G71" s="21">
        <v>3400000559</v>
      </c>
      <c r="H71" s="21" t="s">
        <v>503</v>
      </c>
      <c r="I71" s="27" t="s">
        <v>573</v>
      </c>
      <c r="J71" s="21" t="s">
        <v>430</v>
      </c>
      <c r="N71" s="22">
        <v>45689</v>
      </c>
    </row>
    <row r="72" spans="2:14">
      <c r="B72" s="21" t="s">
        <v>426</v>
      </c>
      <c r="C72" s="21" t="s">
        <v>434</v>
      </c>
      <c r="D72" s="21" t="s">
        <v>79</v>
      </c>
      <c r="E72" s="21" t="s">
        <v>27</v>
      </c>
      <c r="F72" s="21" t="s">
        <v>27</v>
      </c>
      <c r="G72" s="21">
        <v>3400000559</v>
      </c>
      <c r="H72" s="21" t="s">
        <v>504</v>
      </c>
      <c r="I72" s="27" t="s">
        <v>574</v>
      </c>
      <c r="J72" s="21" t="s">
        <v>430</v>
      </c>
      <c r="N72" s="22">
        <v>45689</v>
      </c>
    </row>
    <row r="73" spans="2:14">
      <c r="B73" s="21" t="s">
        <v>426</v>
      </c>
      <c r="C73" s="21" t="s">
        <v>434</v>
      </c>
      <c r="D73" s="21" t="s">
        <v>79</v>
      </c>
      <c r="E73" s="21" t="s">
        <v>27</v>
      </c>
      <c r="F73" s="21" t="s">
        <v>27</v>
      </c>
      <c r="G73" s="21">
        <v>3400000559</v>
      </c>
      <c r="H73" s="21" t="s">
        <v>505</v>
      </c>
      <c r="I73" s="27" t="s">
        <v>575</v>
      </c>
      <c r="J73" s="21" t="s">
        <v>430</v>
      </c>
      <c r="N73" s="22">
        <v>45717</v>
      </c>
    </row>
    <row r="74" spans="2:14">
      <c r="B74" s="21" t="s">
        <v>426</v>
      </c>
      <c r="C74" s="21" t="s">
        <v>434</v>
      </c>
      <c r="D74" s="21" t="s">
        <v>79</v>
      </c>
      <c r="E74" s="21" t="s">
        <v>27</v>
      </c>
      <c r="F74" s="21" t="s">
        <v>27</v>
      </c>
      <c r="G74" s="21">
        <v>3400000559</v>
      </c>
      <c r="H74" s="21" t="s">
        <v>506</v>
      </c>
      <c r="I74" s="27" t="s">
        <v>576</v>
      </c>
      <c r="J74" s="21" t="s">
        <v>431</v>
      </c>
      <c r="N74" s="22">
        <v>45773</v>
      </c>
    </row>
    <row r="75" spans="2:14">
      <c r="B75" s="21" t="s">
        <v>426</v>
      </c>
      <c r="C75" s="21" t="s">
        <v>434</v>
      </c>
      <c r="D75" s="21" t="s">
        <v>79</v>
      </c>
      <c r="E75" s="21" t="s">
        <v>27</v>
      </c>
      <c r="F75" s="21" t="s">
        <v>27</v>
      </c>
      <c r="G75" s="21">
        <v>3400000559</v>
      </c>
      <c r="H75" s="21" t="s">
        <v>507</v>
      </c>
      <c r="I75" s="27" t="s">
        <v>577</v>
      </c>
      <c r="J75" s="21" t="s">
        <v>430</v>
      </c>
      <c r="N75" s="22">
        <v>45780</v>
      </c>
    </row>
    <row r="76" spans="2:14">
      <c r="B76" s="21" t="s">
        <v>426</v>
      </c>
      <c r="C76" s="21" t="s">
        <v>434</v>
      </c>
      <c r="D76" s="21" t="s">
        <v>79</v>
      </c>
      <c r="E76" s="21" t="s">
        <v>27</v>
      </c>
      <c r="F76" s="21" t="s">
        <v>27</v>
      </c>
      <c r="G76" s="21">
        <v>3400000559</v>
      </c>
      <c r="H76" s="21" t="s">
        <v>508</v>
      </c>
      <c r="I76" s="27" t="s">
        <v>578</v>
      </c>
      <c r="J76" s="21" t="s">
        <v>430</v>
      </c>
      <c r="N76" s="22">
        <v>45795</v>
      </c>
    </row>
    <row r="77" spans="2:14">
      <c r="B77" s="21" t="s">
        <v>426</v>
      </c>
      <c r="C77" s="21" t="s">
        <v>434</v>
      </c>
      <c r="D77" s="21" t="s">
        <v>79</v>
      </c>
      <c r="E77" s="21" t="s">
        <v>27</v>
      </c>
      <c r="F77" s="21" t="s">
        <v>27</v>
      </c>
      <c r="G77" s="21">
        <v>3400000559</v>
      </c>
      <c r="H77" s="21" t="s">
        <v>509</v>
      </c>
      <c r="I77" s="27" t="s">
        <v>579</v>
      </c>
      <c r="J77" s="21" t="s">
        <v>580</v>
      </c>
      <c r="N77" s="22">
        <v>45349</v>
      </c>
    </row>
  </sheetData>
  <autoFilter ref="A4:AH54" xr:uid="{00000000-0001-0000-0000-000000000000}">
    <filterColumn colId="14" showButton="0"/>
    <filterColumn colId="16" showButton="0"/>
    <filterColumn colId="20" showButton="0"/>
  </autoFilter>
  <mergeCells count="31">
    <mergeCell ref="B4:B5"/>
    <mergeCell ref="A4:A5"/>
    <mergeCell ref="C4:C5"/>
    <mergeCell ref="D4:D5"/>
    <mergeCell ref="N4:N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AC4:AC5"/>
    <mergeCell ref="O4:P4"/>
    <mergeCell ref="Q4:R4"/>
    <mergeCell ref="S4:S5"/>
    <mergeCell ref="T4:T5"/>
    <mergeCell ref="U4:V4"/>
    <mergeCell ref="W4:W5"/>
    <mergeCell ref="X4:X5"/>
    <mergeCell ref="Y4:Y5"/>
    <mergeCell ref="Z4:Z5"/>
    <mergeCell ref="AA4:AA5"/>
    <mergeCell ref="AB4:AB5"/>
    <mergeCell ref="AG4:AG5"/>
    <mergeCell ref="AH4:AH5"/>
    <mergeCell ref="AD4:AD5"/>
    <mergeCell ref="AE4:AE5"/>
    <mergeCell ref="AF4:AF5"/>
  </mergeCells>
  <phoneticPr fontId="14" type="noConversion"/>
  <conditionalFormatting sqref="M6:M54">
    <cfRule type="cellIs" dxfId="8" priority="14" operator="lessThan">
      <formula>18</formula>
    </cfRule>
  </conditionalFormatting>
  <conditionalFormatting sqref="AB6:AB40 AB43:AB54">
    <cfRule type="duplicateValues" dxfId="7" priority="1163"/>
  </conditionalFormatting>
  <conditionalFormatting sqref="AC6:AC54">
    <cfRule type="duplicateValues" dxfId="6" priority="1165"/>
    <cfRule type="duplicateValues" dxfId="5" priority="1166"/>
    <cfRule type="duplicateValues" dxfId="4" priority="1167"/>
    <cfRule type="duplicateValues" dxfId="3" priority="1171"/>
    <cfRule type="duplicateValues" dxfId="2" priority="1172"/>
    <cfRule type="duplicateValues" dxfId="1" priority="1173"/>
    <cfRule type="duplicateValues" dxfId="0" priority="1174"/>
  </conditionalFormatting>
  <dataValidations count="6">
    <dataValidation type="list" allowBlank="1" showInputMessage="1" showErrorMessage="1" sqref="AF6:AF54" xr:uid="{DF8CCF6F-9DF3-4358-885D-EC5593A57E5A}">
      <formula1>"BETTER OPPORTUNITY,FAMILY ISSUE,GOING ABROAD,PERSONAL ISSUE,PHYSICAL INABILITY,WORKLOAD,ATTENDANCE ISSUE,BEHAVIOR ISSUE,PERFORMANCE ISSUE,COMPLIANCE ISSUE,DISCIPLINE ISSUE,ETHICAL ISSUE"</formula1>
    </dataValidation>
    <dataValidation type="list" allowBlank="1" showInputMessage="1" showErrorMessage="1" sqref="AG6:AG54" xr:uid="{3F801429-4A90-4DC1-A977-DF4EE8B27E30}">
      <formula1>"Yes,No"</formula1>
    </dataValidation>
    <dataValidation type="list" allowBlank="1" showInputMessage="1" showErrorMessage="1" sqref="Y6:Y54" xr:uid="{021A911E-6DD3-46AC-89A7-911E8F8257E3}">
      <formula1>"MARRIED,UNMARRIED"</formula1>
    </dataValidation>
    <dataValidation type="list" allowBlank="1" showInputMessage="1" showErrorMessage="1" sqref="X6:X54" xr:uid="{FC1BE957-BB31-487D-A067-4E6757BC6DE3}">
      <formula1>"MALE,FEMALE"</formula1>
    </dataValidation>
    <dataValidation type="list" allowBlank="1" showInputMessage="1" showErrorMessage="1" sqref="AD6:AD54" xr:uid="{01A5E455-D614-4CB7-93B3-28B43AC1AB62}">
      <formula1>"NEW,RESIGNATION,TERMINATION"</formula1>
    </dataValidation>
    <dataValidation type="list" allowBlank="1" showInputMessage="1" showErrorMessage="1" sqref="AA6:AA54" xr:uid="{3C4EC115-4C04-40EB-93DC-3229388F096C}">
      <formula1>"NID,BIRTH CERTIFICATE"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Y1964"/>
  <sheetViews>
    <sheetView topLeftCell="AC1" zoomScale="80" zoomScaleNormal="80" workbookViewId="0">
      <selection activeCell="AO1" sqref="AO1:AO1048576"/>
    </sheetView>
  </sheetViews>
  <sheetFormatPr defaultRowHeight="15"/>
  <cols>
    <col min="1" max="1" width="14.7109375" style="1" bestFit="1" customWidth="1"/>
    <col min="2" max="2" width="14.7109375" style="1" customWidth="1"/>
    <col min="3" max="3" width="15.42578125" style="1" customWidth="1"/>
    <col min="4" max="4" width="17" style="1" customWidth="1"/>
    <col min="5" max="5" width="11.5703125" style="1" customWidth="1"/>
    <col min="6" max="6" width="14.5703125" customWidth="1"/>
    <col min="7" max="7" width="10.5703125" style="1" customWidth="1"/>
    <col min="8" max="8" width="47.7109375" style="1" customWidth="1"/>
    <col min="9" max="12" width="9.28515625" style="1"/>
    <col min="13" max="14" width="17.7109375" style="1" bestFit="1" customWidth="1"/>
    <col min="15" max="22" width="9.28515625" style="1"/>
    <col min="23" max="23" width="10.5703125" style="1" bestFit="1" customWidth="1"/>
    <col min="24" max="24" width="9.28515625" style="1"/>
    <col min="25" max="25" width="47.42578125" style="1" bestFit="1" customWidth="1"/>
    <col min="26" max="26" width="31.7109375" style="1" bestFit="1" customWidth="1"/>
    <col min="27" max="29" width="9.28515625" style="1"/>
    <col min="30" max="30" width="12.42578125" style="1" bestFit="1" customWidth="1"/>
    <col min="31" max="31" width="14.42578125" style="1" customWidth="1"/>
    <col min="32" max="16371" width="9.28515625" style="1"/>
    <col min="16372" max="16372" width="47.7109375" style="1" customWidth="1"/>
    <col min="16373" max="16373" width="9.28515625" style="1"/>
    <col min="16374" max="16374" width="12.28515625" style="1" customWidth="1"/>
    <col min="16375" max="16375" width="9.28515625" style="1"/>
    <col min="16376" max="16377" width="19.7109375" style="1" customWidth="1"/>
    <col min="16378" max="16378" width="21.42578125" style="1" customWidth="1"/>
    <col min="16379" max="16379" width="14.42578125" style="1" customWidth="1"/>
    <col min="16380" max="16384" width="9.28515625" style="1"/>
  </cols>
  <sheetData>
    <row r="1" spans="1:41 16372:16379" ht="14.65" customHeight="1">
      <c r="A1" s="12" t="s">
        <v>190</v>
      </c>
      <c r="B1" s="12" t="s">
        <v>191</v>
      </c>
      <c r="C1" s="12" t="s">
        <v>192</v>
      </c>
      <c r="D1" s="12" t="s">
        <v>265</v>
      </c>
      <c r="E1" s="12" t="s">
        <v>266</v>
      </c>
      <c r="F1" s="13" t="s">
        <v>268</v>
      </c>
      <c r="G1" s="12" t="s">
        <v>269</v>
      </c>
      <c r="H1" s="12" t="s">
        <v>270</v>
      </c>
      <c r="M1" s="1" t="s">
        <v>208</v>
      </c>
      <c r="N1" s="1" t="str">
        <f>VLOOKUP(M1,'Don''t Delete'!G:G,1,)</f>
        <v>MANAGER OPS</v>
      </c>
      <c r="R1" s="1" t="s">
        <v>372</v>
      </c>
      <c r="S1" s="1" t="s">
        <v>372</v>
      </c>
      <c r="V1" s="1" t="s">
        <v>221</v>
      </c>
      <c r="W1" s="1" t="s">
        <v>221</v>
      </c>
      <c r="Y1" s="1" t="s">
        <v>381</v>
      </c>
      <c r="Z1" s="1" t="str">
        <f>UPPER(Y1)</f>
        <v>PROMOTED TO JSO FROM JSO POOL</v>
      </c>
      <c r="AD1" s="1" t="s">
        <v>371</v>
      </c>
      <c r="AE1" s="1" t="s">
        <v>230</v>
      </c>
      <c r="AI1" s="1" t="s">
        <v>230</v>
      </c>
      <c r="AM1" s="1">
        <v>15353404</v>
      </c>
      <c r="AO1" s="1" t="s">
        <v>348</v>
      </c>
      <c r="XER1" s="1" t="s">
        <v>244</v>
      </c>
      <c r="XET1" s="2" t="s">
        <v>230</v>
      </c>
      <c r="XEU1" s="1" t="s">
        <v>218</v>
      </c>
      <c r="XEV1" s="3" t="s">
        <v>7</v>
      </c>
      <c r="XEW1" s="3" t="s">
        <v>25</v>
      </c>
      <c r="XEX1" s="3" t="s">
        <v>95</v>
      </c>
      <c r="XEY1" s="2" t="s">
        <v>197</v>
      </c>
    </row>
    <row r="2" spans="1:41 16372:16379">
      <c r="A2" s="1" t="s">
        <v>28</v>
      </c>
      <c r="B2" s="1" t="s">
        <v>28</v>
      </c>
      <c r="C2" s="1" t="s">
        <v>37</v>
      </c>
      <c r="D2" s="1" t="s">
        <v>208</v>
      </c>
      <c r="E2" s="1" t="s">
        <v>267</v>
      </c>
      <c r="F2" s="1" t="s">
        <v>230</v>
      </c>
      <c r="G2" s="1" t="s">
        <v>235</v>
      </c>
      <c r="H2" s="1" t="s">
        <v>246</v>
      </c>
      <c r="I2" s="14"/>
      <c r="M2" s="1" t="s">
        <v>193</v>
      </c>
      <c r="N2" s="1" t="str">
        <f>VLOOKUP(M2,'Don''t Delete'!G:G,1,)</f>
        <v>FSE</v>
      </c>
      <c r="R2" s="1" t="s">
        <v>375</v>
      </c>
      <c r="S2" s="1" t="s">
        <v>376</v>
      </c>
      <c r="V2" s="1" t="s">
        <v>216</v>
      </c>
      <c r="W2" s="1" t="s">
        <v>216</v>
      </c>
      <c r="Y2" s="1" t="s">
        <v>382</v>
      </c>
      <c r="Z2" s="1" t="str">
        <f t="shared" ref="Z2:Z14" si="0">UPPER(Y2)</f>
        <v>PROMOTED TO SO FROM SO POOL</v>
      </c>
      <c r="AD2" s="1" t="s">
        <v>373</v>
      </c>
      <c r="AE2" s="1" t="s">
        <v>231</v>
      </c>
      <c r="AI2" s="1" t="s">
        <v>232</v>
      </c>
      <c r="AM2">
        <v>50256053</v>
      </c>
      <c r="AO2" t="s">
        <v>349</v>
      </c>
      <c r="XER2" s="1" t="s">
        <v>246</v>
      </c>
      <c r="XES2" s="2" t="s">
        <v>235</v>
      </c>
      <c r="XET2" s="2" t="s">
        <v>226</v>
      </c>
      <c r="XEU2" s="1" t="s">
        <v>217</v>
      </c>
      <c r="XEV2" s="2" t="s">
        <v>7</v>
      </c>
      <c r="XEW2" s="2" t="s">
        <v>26</v>
      </c>
      <c r="XEX2" s="2" t="s">
        <v>25</v>
      </c>
      <c r="XEY2" s="2" t="s">
        <v>209</v>
      </c>
    </row>
    <row r="3" spans="1:41 16372:16379">
      <c r="A3" s="1" t="s">
        <v>9</v>
      </c>
      <c r="B3" s="1" t="s">
        <v>32</v>
      </c>
      <c r="C3" s="1" t="s">
        <v>25</v>
      </c>
      <c r="D3" s="1" t="s">
        <v>197</v>
      </c>
      <c r="E3" s="1" t="s">
        <v>217</v>
      </c>
      <c r="F3" s="1" t="s">
        <v>226</v>
      </c>
      <c r="G3" s="1" t="s">
        <v>237</v>
      </c>
      <c r="H3" s="1" t="s">
        <v>244</v>
      </c>
      <c r="M3" s="1" t="s">
        <v>194</v>
      </c>
      <c r="N3" s="1" t="str">
        <f>VLOOKUP(M3,'Don''t Delete'!G:G,1,)</f>
        <v>SO</v>
      </c>
      <c r="R3"/>
      <c r="V3" s="1" t="s">
        <v>223</v>
      </c>
      <c r="W3" s="1" t="s">
        <v>223</v>
      </c>
      <c r="Y3" s="1" t="s">
        <v>383</v>
      </c>
      <c r="Z3" s="1" t="str">
        <f t="shared" si="0"/>
        <v>MOVE TO POOL SO FROM SO</v>
      </c>
      <c r="AD3" s="1" t="s">
        <v>374</v>
      </c>
      <c r="AE3" s="1" t="s">
        <v>229</v>
      </c>
      <c r="AI3" s="1" t="s">
        <v>227</v>
      </c>
      <c r="AM3">
        <v>15143714</v>
      </c>
      <c r="AO3" t="s">
        <v>350</v>
      </c>
      <c r="XER3" s="1" t="s">
        <v>247</v>
      </c>
      <c r="XES3" s="2" t="s">
        <v>237</v>
      </c>
      <c r="XET3" s="2" t="s">
        <v>227</v>
      </c>
      <c r="XEU3" s="1" t="s">
        <v>216</v>
      </c>
      <c r="XEV3" s="2" t="s">
        <v>8</v>
      </c>
      <c r="XEW3" s="2" t="s">
        <v>27</v>
      </c>
      <c r="XEX3" s="2" t="s">
        <v>26</v>
      </c>
      <c r="XEY3" s="4" t="s">
        <v>210</v>
      </c>
    </row>
    <row r="4" spans="1:41 16372:16379">
      <c r="A4" s="1" t="s">
        <v>7</v>
      </c>
      <c r="B4" s="1" t="s">
        <v>273</v>
      </c>
      <c r="C4" s="1" t="s">
        <v>271</v>
      </c>
      <c r="D4" s="1" t="s">
        <v>209</v>
      </c>
      <c r="E4" s="1" t="s">
        <v>216</v>
      </c>
      <c r="F4" s="1" t="s">
        <v>227</v>
      </c>
      <c r="G4" s="1" t="s">
        <v>239</v>
      </c>
      <c r="H4" s="1" t="s">
        <v>246</v>
      </c>
      <c r="M4" s="1" t="s">
        <v>198</v>
      </c>
      <c r="N4" s="1" t="str">
        <f>VLOOKUP(M4,'Don''t Delete'!G:G,1,)</f>
        <v>WS SSO</v>
      </c>
      <c r="R4"/>
      <c r="V4" s="1" t="s">
        <v>220</v>
      </c>
      <c r="W4" s="1" t="s">
        <v>220</v>
      </c>
      <c r="Y4" s="1" t="s">
        <v>388</v>
      </c>
      <c r="Z4" s="1" t="str">
        <f t="shared" si="0"/>
        <v>PROMOTED FROM POOL SO TO SSO (PREVIOUS HE WAS A SSO)</v>
      </c>
      <c r="AD4" s="1" t="s">
        <v>227</v>
      </c>
      <c r="AE4" s="1" t="s">
        <v>227</v>
      </c>
      <c r="AI4" s="1" t="s">
        <v>228</v>
      </c>
      <c r="AM4">
        <v>50256393</v>
      </c>
      <c r="AO4" t="s">
        <v>351</v>
      </c>
      <c r="XER4" s="1" t="s">
        <v>248</v>
      </c>
      <c r="XES4" s="2" t="s">
        <v>239</v>
      </c>
      <c r="XET4" s="2" t="s">
        <v>231</v>
      </c>
      <c r="XEU4" s="1" t="s">
        <v>219</v>
      </c>
      <c r="XEV4" s="2" t="s">
        <v>9</v>
      </c>
      <c r="XEW4" s="2" t="s">
        <v>28</v>
      </c>
      <c r="XEX4" s="2" t="s">
        <v>27</v>
      </c>
      <c r="XEY4" s="2" t="s">
        <v>202</v>
      </c>
    </row>
    <row r="5" spans="1:41 16372:16379">
      <c r="B5" s="1" t="s">
        <v>36</v>
      </c>
      <c r="C5" s="1" t="s">
        <v>36</v>
      </c>
      <c r="D5" s="1" t="s">
        <v>210</v>
      </c>
      <c r="E5" s="1" t="s">
        <v>219</v>
      </c>
      <c r="F5" s="1" t="s">
        <v>231</v>
      </c>
      <c r="G5" s="1" t="s">
        <v>240</v>
      </c>
      <c r="H5" s="1" t="s">
        <v>247</v>
      </c>
      <c r="J5" s="14"/>
      <c r="M5" s="1" t="s">
        <v>195</v>
      </c>
      <c r="N5" s="1" t="str">
        <f>VLOOKUP(M5,'Don''t Delete'!G:G,1,)</f>
        <v>SSO</v>
      </c>
      <c r="R5"/>
      <c r="V5" s="1" t="s">
        <v>222</v>
      </c>
      <c r="W5" s="1" t="s">
        <v>345</v>
      </c>
      <c r="Y5" s="1" t="s">
        <v>389</v>
      </c>
      <c r="Z5" s="1" t="str">
        <f t="shared" si="0"/>
        <v>FROM POOL SO TO JSO</v>
      </c>
      <c r="AD5" s="1" t="s">
        <v>377</v>
      </c>
      <c r="AE5" s="1" t="s">
        <v>226</v>
      </c>
      <c r="AI5" s="1" t="s">
        <v>231</v>
      </c>
      <c r="AM5">
        <v>15422765</v>
      </c>
      <c r="AO5" t="s">
        <v>352</v>
      </c>
      <c r="XER5" s="1" t="s">
        <v>249</v>
      </c>
      <c r="XES5" s="2" t="s">
        <v>240</v>
      </c>
      <c r="XET5" s="2" t="s">
        <v>228</v>
      </c>
      <c r="XEU5" s="1" t="s">
        <v>223</v>
      </c>
      <c r="XEV5" s="2" t="s">
        <v>10</v>
      </c>
      <c r="XEW5" s="2" t="s">
        <v>29</v>
      </c>
      <c r="XEX5" s="2" t="s">
        <v>96</v>
      </c>
      <c r="XEY5" s="2" t="s">
        <v>201</v>
      </c>
    </row>
    <row r="6" spans="1:41 16372:16379">
      <c r="B6" s="1" t="s">
        <v>38</v>
      </c>
      <c r="C6" s="1" t="s">
        <v>27</v>
      </c>
      <c r="D6" s="1" t="s">
        <v>202</v>
      </c>
      <c r="E6" s="1" t="s">
        <v>223</v>
      </c>
      <c r="F6" s="1" t="s">
        <v>228</v>
      </c>
      <c r="G6" s="1" t="s">
        <v>236</v>
      </c>
      <c r="H6" s="1" t="s">
        <v>248</v>
      </c>
      <c r="M6" s="1" t="s">
        <v>263</v>
      </c>
      <c r="N6" s="1" t="str">
        <f>VLOOKUP(M6,'Don''t Delete'!G:G,1,)</f>
        <v>POOL SO</v>
      </c>
      <c r="R6"/>
      <c r="V6" s="1" t="s">
        <v>219</v>
      </c>
      <c r="W6" s="1" t="s">
        <v>219</v>
      </c>
      <c r="Y6" s="1" t="s">
        <v>390</v>
      </c>
      <c r="Z6" s="1" t="str">
        <f t="shared" si="0"/>
        <v>PROMOTED FROM POOL SO TO SO</v>
      </c>
      <c r="AD6" s="1" t="s">
        <v>378</v>
      </c>
      <c r="AE6" s="1" t="s">
        <v>232</v>
      </c>
      <c r="AI6" s="1" t="s">
        <v>233</v>
      </c>
      <c r="AM6">
        <v>50256052</v>
      </c>
      <c r="AO6" t="s">
        <v>353</v>
      </c>
      <c r="XER6" s="1" t="s">
        <v>250</v>
      </c>
      <c r="XES6" s="2" t="s">
        <v>236</v>
      </c>
      <c r="XET6" s="2" t="s">
        <v>229</v>
      </c>
      <c r="XEU6" s="1" t="s">
        <v>221</v>
      </c>
      <c r="XEV6" s="2" t="s">
        <v>11</v>
      </c>
      <c r="XEW6" s="2" t="s">
        <v>30</v>
      </c>
      <c r="XEX6" s="2" t="s">
        <v>28</v>
      </c>
      <c r="XEY6" s="4" t="s">
        <v>211</v>
      </c>
    </row>
    <row r="7" spans="1:41 16372:16379">
      <c r="B7" s="1" t="s">
        <v>272</v>
      </c>
      <c r="C7" s="1" t="s">
        <v>272</v>
      </c>
      <c r="D7" s="1" t="s">
        <v>201</v>
      </c>
      <c r="E7" s="1" t="s">
        <v>221</v>
      </c>
      <c r="F7" s="1" t="s">
        <v>229</v>
      </c>
      <c r="G7" s="1" t="s">
        <v>241</v>
      </c>
      <c r="H7" s="1" t="s">
        <v>249</v>
      </c>
      <c r="M7" s="1" t="s">
        <v>196</v>
      </c>
      <c r="N7" s="1" t="str">
        <f>VLOOKUP(M7,'Don''t Delete'!G:G,1,)</f>
        <v>JSO</v>
      </c>
      <c r="R7"/>
      <c r="V7" s="1" t="s">
        <v>224</v>
      </c>
      <c r="W7" s="1" t="s">
        <v>224</v>
      </c>
      <c r="Y7" s="1" t="s">
        <v>391</v>
      </c>
      <c r="Z7" s="1" t="str">
        <f t="shared" si="0"/>
        <v>FROM POOL JSO TO JSO</v>
      </c>
      <c r="AD7" s="1" t="s">
        <v>233</v>
      </c>
      <c r="AE7" s="1" t="s">
        <v>233</v>
      </c>
      <c r="AI7" s="1" t="s">
        <v>229</v>
      </c>
      <c r="AM7">
        <v>15383457</v>
      </c>
      <c r="AO7" t="s">
        <v>360</v>
      </c>
      <c r="XER7" s="1" t="s">
        <v>251</v>
      </c>
      <c r="XES7" s="2" t="s">
        <v>241</v>
      </c>
      <c r="XET7" s="2" t="s">
        <v>232</v>
      </c>
      <c r="XEU7" s="1" t="s">
        <v>222</v>
      </c>
      <c r="XEV7" s="2" t="s">
        <v>12</v>
      </c>
      <c r="XEW7" s="2" t="s">
        <v>31</v>
      </c>
      <c r="XEX7" s="2" t="s">
        <v>29</v>
      </c>
      <c r="XEY7" s="2" t="s">
        <v>212</v>
      </c>
    </row>
    <row r="8" spans="1:41 16372:16379">
      <c r="B8" s="1" t="s">
        <v>31</v>
      </c>
      <c r="C8" s="1" t="s">
        <v>39</v>
      </c>
      <c r="D8" s="1" t="s">
        <v>211</v>
      </c>
      <c r="E8" s="1" t="s">
        <v>222</v>
      </c>
      <c r="F8" s="1" t="s">
        <v>232</v>
      </c>
      <c r="G8" s="1" t="s">
        <v>242</v>
      </c>
      <c r="H8" s="1" t="s">
        <v>250</v>
      </c>
      <c r="M8" s="1" t="s">
        <v>264</v>
      </c>
      <c r="N8" s="1" t="str">
        <f>VLOOKUP(M8,'Don''t Delete'!G:G,1,)</f>
        <v>POOL JSO</v>
      </c>
      <c r="R8"/>
      <c r="V8" s="1" t="s">
        <v>217</v>
      </c>
      <c r="W8" s="1" t="s">
        <v>217</v>
      </c>
      <c r="Y8" s="1" t="s">
        <v>392</v>
      </c>
      <c r="Z8" s="1" t="str">
        <f t="shared" si="0"/>
        <v>FROM POOL JSO TO SO</v>
      </c>
      <c r="AD8" s="1" t="s">
        <v>379</v>
      </c>
      <c r="AE8" s="1" t="s">
        <v>228</v>
      </c>
      <c r="AI8" s="1" t="s">
        <v>226</v>
      </c>
      <c r="AM8">
        <v>50256059</v>
      </c>
      <c r="AO8" t="s">
        <v>361</v>
      </c>
      <c r="XER8" s="1" t="s">
        <v>245</v>
      </c>
      <c r="XES8" s="5" t="s">
        <v>242</v>
      </c>
      <c r="XET8" s="2" t="s">
        <v>233</v>
      </c>
      <c r="XEU8" s="1" t="s">
        <v>224</v>
      </c>
      <c r="XEV8" s="2" t="s">
        <v>13</v>
      </c>
      <c r="XEW8" s="2" t="s">
        <v>32</v>
      </c>
      <c r="XEX8" s="2" t="s">
        <v>97</v>
      </c>
      <c r="XEY8" s="4" t="s">
        <v>204</v>
      </c>
    </row>
    <row r="9" spans="1:41 16372:16379">
      <c r="B9" s="1" t="s">
        <v>30</v>
      </c>
      <c r="C9" s="1" t="s">
        <v>38</v>
      </c>
      <c r="D9" s="1" t="s">
        <v>212</v>
      </c>
      <c r="E9" s="1" t="s">
        <v>224</v>
      </c>
      <c r="F9" s="1" t="s">
        <v>233</v>
      </c>
      <c r="G9" s="1" t="s">
        <v>243</v>
      </c>
      <c r="H9" s="1" t="s">
        <v>251</v>
      </c>
      <c r="J9" s="14"/>
      <c r="M9" s="1" t="s">
        <v>215</v>
      </c>
      <c r="N9" s="1" t="str">
        <f>VLOOKUP(M9,'Don''t Delete'!G:G,1,)</f>
        <v>MALE CO</v>
      </c>
      <c r="R9"/>
      <c r="V9" s="1" t="s">
        <v>267</v>
      </c>
      <c r="W9" s="1" t="s">
        <v>267</v>
      </c>
      <c r="Y9" s="1" t="s">
        <v>393</v>
      </c>
      <c r="Z9" s="1" t="str">
        <f t="shared" si="0"/>
        <v>FROM POOL SO TO SO</v>
      </c>
      <c r="AD9" s="1" t="s">
        <v>380</v>
      </c>
      <c r="AE9" s="1" t="s">
        <v>230</v>
      </c>
      <c r="AM9">
        <v>15383458</v>
      </c>
      <c r="AO9" t="s">
        <v>362</v>
      </c>
      <c r="XER9" s="1" t="s">
        <v>252</v>
      </c>
      <c r="XES9" s="5" t="s">
        <v>243</v>
      </c>
      <c r="XEU9" s="1" t="s">
        <v>220</v>
      </c>
      <c r="XEV9" s="2" t="s">
        <v>14</v>
      </c>
      <c r="XEW9" s="2" t="s">
        <v>33</v>
      </c>
      <c r="XEX9" s="2" t="s">
        <v>30</v>
      </c>
      <c r="XEY9" s="4" t="s">
        <v>205</v>
      </c>
    </row>
    <row r="10" spans="1:41 16372:16379">
      <c r="B10" s="1" t="s">
        <v>29</v>
      </c>
      <c r="C10" s="1" t="s">
        <v>28</v>
      </c>
      <c r="D10" s="1" t="s">
        <v>204</v>
      </c>
      <c r="E10" s="1" t="s">
        <v>220</v>
      </c>
      <c r="G10" s="1" t="s">
        <v>234</v>
      </c>
      <c r="H10" s="1" t="s">
        <v>245</v>
      </c>
      <c r="J10" s="14"/>
      <c r="M10" s="1" t="s">
        <v>197</v>
      </c>
      <c r="N10" s="1" t="str">
        <f>VLOOKUP(M10,'Don''t Delete'!G:G,1,)</f>
        <v>ACCOUNTS</v>
      </c>
      <c r="R10"/>
      <c r="V10" s="1" t="s">
        <v>225</v>
      </c>
      <c r="W10" s="1" t="s">
        <v>225</v>
      </c>
      <c r="Y10" s="1" t="s">
        <v>396</v>
      </c>
      <c r="Z10" s="1" t="str">
        <f t="shared" si="0"/>
        <v>FROM SO TO JSO</v>
      </c>
      <c r="AD10" s="1" t="s">
        <v>384</v>
      </c>
      <c r="AE10" s="1" t="s">
        <v>230</v>
      </c>
      <c r="AM10">
        <v>15168991</v>
      </c>
      <c r="AO10" t="s">
        <v>363</v>
      </c>
      <c r="XER10" s="1" t="s">
        <v>253</v>
      </c>
      <c r="XES10" s="5" t="s">
        <v>234</v>
      </c>
      <c r="XEU10" s="1" t="s">
        <v>225</v>
      </c>
      <c r="XEV10" s="2" t="s">
        <v>15</v>
      </c>
      <c r="XEW10" s="2" t="s">
        <v>34</v>
      </c>
      <c r="XEX10" s="2" t="s">
        <v>98</v>
      </c>
      <c r="XEY10" s="2" t="s">
        <v>199</v>
      </c>
    </row>
    <row r="11" spans="1:41 16372:16379">
      <c r="B11" s="1" t="s">
        <v>27</v>
      </c>
      <c r="C11" s="1" t="s">
        <v>96</v>
      </c>
      <c r="D11" s="1" t="s">
        <v>205</v>
      </c>
      <c r="E11" s="1" t="s">
        <v>225</v>
      </c>
      <c r="G11" s="1" t="s">
        <v>238</v>
      </c>
      <c r="H11" s="1" t="s">
        <v>252</v>
      </c>
      <c r="M11" s="1" t="s">
        <v>209</v>
      </c>
      <c r="N11" s="1" t="str">
        <f>VLOOKUP(M11,'Don''t Delete'!G:G,1,)</f>
        <v>MANAGER ADMIN</v>
      </c>
      <c r="R11"/>
      <c r="V11" s="1" t="s">
        <v>370</v>
      </c>
      <c r="W11" s="1" t="s">
        <v>216</v>
      </c>
      <c r="Y11" s="1" t="s">
        <v>397</v>
      </c>
      <c r="Z11" s="1" t="str">
        <f t="shared" si="0"/>
        <v>FROM JSO TO WK</v>
      </c>
      <c r="AD11" s="1">
        <v>0</v>
      </c>
      <c r="AM11">
        <v>15383461</v>
      </c>
      <c r="AO11" t="s">
        <v>385</v>
      </c>
      <c r="XER11" s="1" t="s">
        <v>254</v>
      </c>
      <c r="XES11" s="5" t="s">
        <v>238</v>
      </c>
      <c r="XEU11" s="1" t="s">
        <v>260</v>
      </c>
      <c r="XEV11" s="4" t="s">
        <v>16</v>
      </c>
      <c r="XEW11" s="6" t="s">
        <v>35</v>
      </c>
      <c r="XEX11" s="2" t="s">
        <v>99</v>
      </c>
      <c r="XEY11" s="2" t="s">
        <v>200</v>
      </c>
    </row>
    <row r="12" spans="1:41 16372:16379">
      <c r="B12" s="1" t="s">
        <v>9</v>
      </c>
      <c r="C12" s="1" t="s">
        <v>29</v>
      </c>
      <c r="D12" s="1" t="s">
        <v>199</v>
      </c>
      <c r="E12" s="1" t="s">
        <v>260</v>
      </c>
      <c r="H12" s="1" t="s">
        <v>253</v>
      </c>
      <c r="M12" s="1" t="s">
        <v>261</v>
      </c>
      <c r="N12" s="1" t="str">
        <f>VLOOKUP(M12,'Don''t Delete'!G:G,1,)</f>
        <v>WK</v>
      </c>
      <c r="R12"/>
      <c r="V12" s="1" t="s">
        <v>345</v>
      </c>
      <c r="W12" s="1" t="s">
        <v>345</v>
      </c>
      <c r="Y12" s="1" t="s">
        <v>398</v>
      </c>
      <c r="Z12" s="1" t="str">
        <f t="shared" si="0"/>
        <v>PROMOTED  TO JSO TO SO</v>
      </c>
      <c r="AM12">
        <v>50256056</v>
      </c>
      <c r="AO12" t="s">
        <v>386</v>
      </c>
      <c r="XER12" s="1" t="s">
        <v>255</v>
      </c>
      <c r="XEV12" s="7" t="s">
        <v>17</v>
      </c>
      <c r="XEW12" s="2" t="s">
        <v>9</v>
      </c>
      <c r="XEX12" s="2" t="s">
        <v>32</v>
      </c>
      <c r="XEY12" s="2" t="s">
        <v>193</v>
      </c>
    </row>
    <row r="13" spans="1:41 16372:16379">
      <c r="B13" s="1" t="s">
        <v>35</v>
      </c>
      <c r="C13" s="1" t="s">
        <v>97</v>
      </c>
      <c r="D13" s="1" t="s">
        <v>200</v>
      </c>
      <c r="H13" s="1" t="s">
        <v>254</v>
      </c>
      <c r="I13" s="14"/>
      <c r="M13" s="1" t="s">
        <v>262</v>
      </c>
      <c r="N13" s="1" t="str">
        <f>VLOOKUP(M13,'Don''t Delete'!G:G,1,)</f>
        <v>ASS. WK</v>
      </c>
      <c r="R13"/>
      <c r="V13" s="1" t="s">
        <v>344</v>
      </c>
      <c r="W13" s="1" t="s">
        <v>344</v>
      </c>
      <c r="Y13" s="1" t="s">
        <v>400</v>
      </c>
      <c r="Z13" s="1" t="str">
        <f t="shared" si="0"/>
        <v>PROMOTED FROM JSO TO SO</v>
      </c>
      <c r="AD13"/>
      <c r="AM13">
        <v>15383877</v>
      </c>
      <c r="AO13" t="s">
        <v>364</v>
      </c>
      <c r="XER13" s="1" t="s">
        <v>256</v>
      </c>
      <c r="XEV13" s="4" t="s">
        <v>18</v>
      </c>
      <c r="XEW13" s="2" t="s">
        <v>36</v>
      </c>
      <c r="XEX13" s="2" t="s">
        <v>33</v>
      </c>
      <c r="XEY13" s="2" t="s">
        <v>196</v>
      </c>
    </row>
    <row r="14" spans="1:41 16372:16379">
      <c r="B14" s="1" t="s">
        <v>33</v>
      </c>
      <c r="C14" s="1" t="s">
        <v>35</v>
      </c>
      <c r="D14" s="1" t="s">
        <v>193</v>
      </c>
      <c r="H14" s="1" t="s">
        <v>255</v>
      </c>
      <c r="M14" s="1" t="s">
        <v>203</v>
      </c>
      <c r="N14" s="1" t="str">
        <f>VLOOKUP(M14,'Don''t Delete'!G:G,1,)</f>
        <v>PRO</v>
      </c>
      <c r="R14"/>
      <c r="V14" s="1" t="s">
        <v>346</v>
      </c>
      <c r="W14" s="1" t="s">
        <v>346</v>
      </c>
      <c r="Y14" s="1" t="s">
        <v>401</v>
      </c>
      <c r="Z14" s="1" t="str">
        <f t="shared" si="0"/>
        <v>PROMOTED FROM  POOL JSO TO SO</v>
      </c>
      <c r="AD14"/>
      <c r="AM14">
        <v>15383870</v>
      </c>
      <c r="AO14" t="s">
        <v>387</v>
      </c>
      <c r="XER14" s="1" t="s">
        <v>257</v>
      </c>
      <c r="XEV14" s="2" t="s">
        <v>19</v>
      </c>
      <c r="XEW14" s="2" t="s">
        <v>37</v>
      </c>
      <c r="XEX14" s="2" t="s">
        <v>100</v>
      </c>
      <c r="XEY14" s="4" t="s">
        <v>213</v>
      </c>
    </row>
    <row r="15" spans="1:41 16372:16379">
      <c r="B15" s="1" t="s">
        <v>37</v>
      </c>
      <c r="C15" s="1" t="s">
        <v>101</v>
      </c>
      <c r="D15" s="1" t="s">
        <v>196</v>
      </c>
      <c r="H15" s="1" t="s">
        <v>256</v>
      </c>
      <c r="M15" s="1" t="s">
        <v>212</v>
      </c>
      <c r="N15" s="1" t="str">
        <f>VLOOKUP(M15,'Don''t Delete'!G:G,1,)</f>
        <v>FEMALE CO</v>
      </c>
      <c r="R15"/>
      <c r="V15" s="1" t="s">
        <v>347</v>
      </c>
      <c r="W15" s="1" t="s">
        <v>347</v>
      </c>
      <c r="AD15"/>
      <c r="AM15">
        <v>50256061</v>
      </c>
      <c r="AO15" t="s">
        <v>354</v>
      </c>
      <c r="XER15" s="1" t="s">
        <v>258</v>
      </c>
      <c r="XEV15" s="8" t="s">
        <v>20</v>
      </c>
      <c r="XEW15" s="2" t="s">
        <v>38</v>
      </c>
      <c r="XEX15" s="6" t="s">
        <v>35</v>
      </c>
      <c r="XEY15" s="2" t="s">
        <v>215</v>
      </c>
    </row>
    <row r="16" spans="1:41 16372:16379">
      <c r="B16" s="1" t="s">
        <v>39</v>
      </c>
      <c r="C16" s="1" t="s">
        <v>30</v>
      </c>
      <c r="D16" s="1" t="s">
        <v>213</v>
      </c>
      <c r="H16" s="1" t="s">
        <v>257</v>
      </c>
      <c r="M16" s="1" t="s">
        <v>289</v>
      </c>
      <c r="N16" s="1" t="str">
        <f>VLOOKUP(M16,'Don''t Delete'!G:G,1,)</f>
        <v>FEMALE ACCOUNTS</v>
      </c>
      <c r="R16"/>
      <c r="V16"/>
      <c r="Y16"/>
      <c r="AD16"/>
      <c r="AM16">
        <v>50256060</v>
      </c>
      <c r="AO16" t="s">
        <v>359</v>
      </c>
      <c r="XER16" s="1" t="s">
        <v>259</v>
      </c>
      <c r="XEV16" s="2" t="s">
        <v>21</v>
      </c>
      <c r="XEW16" s="2" t="s">
        <v>39</v>
      </c>
      <c r="XEX16" s="6" t="s">
        <v>101</v>
      </c>
      <c r="XEY16" s="4" t="s">
        <v>206</v>
      </c>
    </row>
    <row r="17" spans="3:41 16376:16379">
      <c r="C17" s="1" t="s">
        <v>33</v>
      </c>
      <c r="D17" s="1" t="s">
        <v>215</v>
      </c>
      <c r="H17" s="1" t="s">
        <v>258</v>
      </c>
      <c r="M17" s="1" t="s">
        <v>214</v>
      </c>
      <c r="N17" s="1" t="str">
        <f>VLOOKUP(M17,'Don''t Delete'!G:G,1,)</f>
        <v>PRO [HOUSE]</v>
      </c>
      <c r="R17"/>
      <c r="V17"/>
      <c r="Y17"/>
      <c r="AD17"/>
      <c r="AM17">
        <v>15383462</v>
      </c>
      <c r="AO17" t="s">
        <v>394</v>
      </c>
      <c r="XEV17" s="8" t="s">
        <v>22</v>
      </c>
      <c r="XEW17" s="2" t="s">
        <v>40</v>
      </c>
      <c r="XEX17" s="2" t="s">
        <v>9</v>
      </c>
      <c r="XEY17" s="4" t="s">
        <v>207</v>
      </c>
    </row>
    <row r="18" spans="3:41 16376:16379">
      <c r="C18" s="1" t="s">
        <v>32</v>
      </c>
      <c r="D18" s="1" t="s">
        <v>206</v>
      </c>
      <c r="H18" s="1" t="s">
        <v>259</v>
      </c>
      <c r="M18" s="1" t="s">
        <v>286</v>
      </c>
      <c r="N18" s="1" t="str">
        <f>VLOOKUP(M18,'Don''t Delete'!G:G,1,)</f>
        <v>PPRO [HOUSE]</v>
      </c>
      <c r="R18"/>
      <c r="V18"/>
      <c r="Y18"/>
      <c r="AD18"/>
      <c r="AM18">
        <v>15430884</v>
      </c>
      <c r="AO18" t="s">
        <v>355</v>
      </c>
      <c r="XEV18" s="2" t="s">
        <v>23</v>
      </c>
      <c r="XEW18" s="2" t="s">
        <v>41</v>
      </c>
      <c r="XEX18" s="2" t="s">
        <v>102</v>
      </c>
      <c r="XEY18" s="9" t="s">
        <v>214</v>
      </c>
    </row>
    <row r="19" spans="3:41 16376:16379">
      <c r="C19" s="1" t="s">
        <v>99</v>
      </c>
      <c r="D19" s="1" t="s">
        <v>207</v>
      </c>
      <c r="M19"/>
      <c r="R19"/>
      <c r="V19"/>
      <c r="Y19"/>
      <c r="AD19"/>
      <c r="AM19">
        <v>15393943</v>
      </c>
      <c r="AO19" t="s">
        <v>395</v>
      </c>
      <c r="XEV19" s="8" t="s">
        <v>24</v>
      </c>
      <c r="XEW19" s="2" t="s">
        <v>42</v>
      </c>
      <c r="XEX19" s="2" t="s">
        <v>31</v>
      </c>
      <c r="XEY19" s="10" t="s">
        <v>203</v>
      </c>
    </row>
    <row r="20" spans="3:41 16376:16379">
      <c r="C20" s="1" t="s">
        <v>9</v>
      </c>
      <c r="D20" s="1" t="s">
        <v>214</v>
      </c>
      <c r="M20"/>
      <c r="R20"/>
      <c r="V20"/>
      <c r="Y20"/>
      <c r="AD20"/>
      <c r="AM20">
        <v>50256058</v>
      </c>
      <c r="AO20" t="s">
        <v>357</v>
      </c>
      <c r="XEW20" s="2" t="s">
        <v>43</v>
      </c>
      <c r="XEX20" s="2" t="s">
        <v>36</v>
      </c>
      <c r="XEY20" s="2" t="s">
        <v>194</v>
      </c>
    </row>
    <row r="21" spans="3:41 16376:16379">
      <c r="C21" s="1" t="s">
        <v>102</v>
      </c>
      <c r="D21" s="1" t="s">
        <v>203</v>
      </c>
      <c r="M21"/>
      <c r="R21"/>
      <c r="V21"/>
      <c r="Y21"/>
      <c r="AD21"/>
      <c r="AM21">
        <v>50256063</v>
      </c>
      <c r="AO21" t="s">
        <v>399</v>
      </c>
      <c r="XEW21" s="2" t="s">
        <v>44</v>
      </c>
      <c r="XEX21" s="2" t="s">
        <v>37</v>
      </c>
      <c r="XEY21" s="2" t="s">
        <v>195</v>
      </c>
    </row>
    <row r="22" spans="3:41 16376:16379">
      <c r="C22" s="1" t="s">
        <v>31</v>
      </c>
      <c r="D22" s="1" t="s">
        <v>194</v>
      </c>
      <c r="M22"/>
      <c r="R22"/>
      <c r="V22"/>
      <c r="Y22"/>
      <c r="AD22"/>
      <c r="AM22">
        <v>15506848</v>
      </c>
      <c r="AO22" t="s">
        <v>356</v>
      </c>
      <c r="XEW22" s="2" t="s">
        <v>45</v>
      </c>
      <c r="XEX22" s="2" t="s">
        <v>38</v>
      </c>
      <c r="XEY22" s="2" t="s">
        <v>198</v>
      </c>
    </row>
    <row r="23" spans="3:41 16376:16379">
      <c r="C23" s="1" t="s">
        <v>98</v>
      </c>
      <c r="D23" s="1" t="s">
        <v>195</v>
      </c>
      <c r="M23"/>
      <c r="R23"/>
      <c r="V23"/>
      <c r="Y23"/>
      <c r="AD23"/>
      <c r="AM23">
        <v>15208171</v>
      </c>
      <c r="AO23" t="s">
        <v>358</v>
      </c>
      <c r="XEW23" s="2" t="s">
        <v>46</v>
      </c>
      <c r="XEX23" s="2" t="s">
        <v>39</v>
      </c>
      <c r="XEY23" s="1" t="s">
        <v>261</v>
      </c>
    </row>
    <row r="24" spans="3:41 16376:16379">
      <c r="C24" s="1" t="s">
        <v>34</v>
      </c>
      <c r="D24" s="1" t="s">
        <v>198</v>
      </c>
      <c r="M24"/>
      <c r="R24"/>
      <c r="V24"/>
      <c r="Y24"/>
      <c r="AD24"/>
      <c r="AM24"/>
      <c r="AO24"/>
      <c r="XEW24" s="2" t="s">
        <v>47</v>
      </c>
      <c r="XEX24" s="2" t="s">
        <v>40</v>
      </c>
      <c r="XEY24" s="1" t="s">
        <v>262</v>
      </c>
    </row>
    <row r="25" spans="3:41 16376:16379">
      <c r="C25" s="1" t="s">
        <v>279</v>
      </c>
      <c r="D25" s="1" t="s">
        <v>261</v>
      </c>
      <c r="M25"/>
      <c r="R25"/>
      <c r="V25"/>
      <c r="Y25"/>
      <c r="AD25"/>
      <c r="AM25"/>
      <c r="AO25"/>
      <c r="XEW25" s="2" t="s">
        <v>11</v>
      </c>
      <c r="XEX25" s="2" t="s">
        <v>103</v>
      </c>
      <c r="XEY25" s="1" t="s">
        <v>263</v>
      </c>
    </row>
    <row r="26" spans="3:41 16376:16379">
      <c r="C26" s="1" t="s">
        <v>278</v>
      </c>
      <c r="D26" s="1" t="s">
        <v>262</v>
      </c>
      <c r="M26"/>
      <c r="R26"/>
      <c r="V26"/>
      <c r="Y26"/>
      <c r="AD26"/>
      <c r="AM26"/>
      <c r="AO26"/>
      <c r="XEW26" s="2" t="s">
        <v>48</v>
      </c>
      <c r="XEX26" s="2" t="s">
        <v>41</v>
      </c>
      <c r="XEY26" s="1" t="s">
        <v>264</v>
      </c>
    </row>
    <row r="27" spans="3:41 16376:16379">
      <c r="C27" s="1" t="s">
        <v>277</v>
      </c>
      <c r="D27" s="1" t="s">
        <v>263</v>
      </c>
      <c r="M27"/>
      <c r="R27"/>
      <c r="V27"/>
      <c r="Y27"/>
      <c r="AD27"/>
      <c r="AM27"/>
      <c r="AO27"/>
      <c r="XEW27" s="2" t="s">
        <v>49</v>
      </c>
      <c r="XEX27" s="2" t="s">
        <v>104</v>
      </c>
    </row>
    <row r="28" spans="3:41 16376:16379">
      <c r="D28" s="1" t="s">
        <v>264</v>
      </c>
      <c r="M28"/>
      <c r="R28"/>
      <c r="V28"/>
      <c r="Y28"/>
      <c r="AD28"/>
      <c r="AM28"/>
      <c r="AO28"/>
      <c r="XEW28" s="2" t="s">
        <v>50</v>
      </c>
      <c r="XEX28" s="2" t="s">
        <v>105</v>
      </c>
    </row>
    <row r="29" spans="3:41 16376:16379">
      <c r="M29"/>
      <c r="R29"/>
      <c r="V29"/>
      <c r="Y29"/>
      <c r="AD29"/>
      <c r="AM29"/>
      <c r="AO29"/>
      <c r="XEW29" s="2" t="s">
        <v>51</v>
      </c>
      <c r="XEX29" s="2" t="s">
        <v>42</v>
      </c>
    </row>
    <row r="30" spans="3:41 16376:16379">
      <c r="M30"/>
      <c r="R30"/>
      <c r="V30"/>
      <c r="Y30"/>
      <c r="AD30"/>
      <c r="AM30"/>
      <c r="AO30"/>
      <c r="XEW30" s="2" t="s">
        <v>52</v>
      </c>
      <c r="XEX30" s="2" t="s">
        <v>43</v>
      </c>
    </row>
    <row r="31" spans="3:41 16376:16379">
      <c r="M31"/>
      <c r="R31"/>
      <c r="V31"/>
      <c r="Y31"/>
      <c r="AD31"/>
      <c r="AM31"/>
      <c r="AO31"/>
      <c r="XEW31" s="2" t="s">
        <v>53</v>
      </c>
      <c r="XEX31" s="2" t="s">
        <v>44</v>
      </c>
    </row>
    <row r="32" spans="3:41 16376:16379">
      <c r="M32"/>
      <c r="R32"/>
      <c r="V32"/>
      <c r="Y32"/>
      <c r="AD32"/>
      <c r="AM32"/>
      <c r="AO32"/>
      <c r="XEW32" s="2" t="s">
        <v>54</v>
      </c>
      <c r="XEX32" s="2" t="s">
        <v>106</v>
      </c>
    </row>
    <row r="33" spans="13:41 16377:16378">
      <c r="M33"/>
      <c r="R33"/>
      <c r="V33"/>
      <c r="Y33"/>
      <c r="AD33"/>
      <c r="AM33"/>
      <c r="AO33"/>
      <c r="XEW33" s="2" t="s">
        <v>55</v>
      </c>
      <c r="XEX33" s="2" t="s">
        <v>107</v>
      </c>
    </row>
    <row r="34" spans="13:41 16377:16378">
      <c r="M34"/>
      <c r="R34"/>
      <c r="V34"/>
      <c r="Y34"/>
      <c r="AD34"/>
      <c r="AM34"/>
      <c r="AO34"/>
      <c r="XEW34" s="9" t="s">
        <v>56</v>
      </c>
      <c r="XEX34" s="2" t="s">
        <v>108</v>
      </c>
    </row>
    <row r="35" spans="13:41 16377:16378">
      <c r="M35"/>
      <c r="R35"/>
      <c r="V35"/>
      <c r="Y35"/>
      <c r="AD35"/>
      <c r="AM35"/>
      <c r="AO35"/>
      <c r="XEW35" s="9" t="s">
        <v>57</v>
      </c>
      <c r="XEX35" s="2" t="s">
        <v>109</v>
      </c>
    </row>
    <row r="36" spans="13:41 16377:16378">
      <c r="M36"/>
      <c r="R36"/>
      <c r="V36"/>
      <c r="Y36"/>
      <c r="AD36"/>
      <c r="AM36"/>
      <c r="AO36"/>
      <c r="XEW36" s="2" t="s">
        <v>58</v>
      </c>
      <c r="XEX36" s="2" t="s">
        <v>45</v>
      </c>
    </row>
    <row r="37" spans="13:41 16377:16378">
      <c r="M37"/>
      <c r="R37"/>
      <c r="V37"/>
      <c r="Y37"/>
      <c r="AD37"/>
      <c r="AM37"/>
      <c r="AO37"/>
      <c r="XEW37" s="2" t="s">
        <v>59</v>
      </c>
      <c r="XEX37" s="2" t="s">
        <v>46</v>
      </c>
    </row>
    <row r="38" spans="13:41 16377:16378">
      <c r="M38"/>
      <c r="R38"/>
      <c r="V38"/>
      <c r="Y38"/>
      <c r="AD38"/>
      <c r="AM38"/>
      <c r="AO38"/>
      <c r="XEW38" s="2" t="s">
        <v>60</v>
      </c>
      <c r="XEX38" s="2" t="s">
        <v>110</v>
      </c>
    </row>
    <row r="39" spans="13:41 16377:16378">
      <c r="M39"/>
      <c r="R39"/>
      <c r="V39"/>
      <c r="Y39"/>
      <c r="AD39"/>
      <c r="AM39"/>
      <c r="AO39"/>
      <c r="XEW39" s="2" t="s">
        <v>61</v>
      </c>
      <c r="XEX39" s="2" t="s">
        <v>111</v>
      </c>
    </row>
    <row r="40" spans="13:41 16377:16378">
      <c r="M40"/>
      <c r="R40"/>
      <c r="V40"/>
      <c r="Y40"/>
      <c r="AD40"/>
      <c r="AM40"/>
      <c r="AO40"/>
      <c r="XEW40" s="2" t="s">
        <v>62</v>
      </c>
      <c r="XEX40" s="2" t="s">
        <v>47</v>
      </c>
    </row>
    <row r="41" spans="13:41 16377:16378">
      <c r="M41"/>
      <c r="R41"/>
      <c r="V41"/>
      <c r="Y41"/>
      <c r="AD41"/>
      <c r="AM41"/>
      <c r="AO41"/>
      <c r="XEW41" s="2" t="s">
        <v>63</v>
      </c>
      <c r="XEX41" s="2" t="s">
        <v>112</v>
      </c>
    </row>
    <row r="42" spans="13:41 16377:16378">
      <c r="M42"/>
      <c r="R42"/>
      <c r="V42"/>
      <c r="Y42"/>
      <c r="AD42"/>
      <c r="AM42"/>
      <c r="AO42"/>
      <c r="XEW42" s="2" t="s">
        <v>64</v>
      </c>
      <c r="XEX42" s="2" t="s">
        <v>113</v>
      </c>
    </row>
    <row r="43" spans="13:41 16377:16378">
      <c r="M43"/>
      <c r="R43"/>
      <c r="V43"/>
      <c r="Y43"/>
      <c r="AD43"/>
      <c r="AM43"/>
      <c r="AO43"/>
      <c r="XEW43" s="2" t="s">
        <v>65</v>
      </c>
      <c r="XEX43" s="2" t="s">
        <v>114</v>
      </c>
    </row>
    <row r="44" spans="13:41 16377:16378">
      <c r="M44"/>
      <c r="R44"/>
      <c r="V44"/>
      <c r="Y44"/>
      <c r="AD44"/>
      <c r="AM44"/>
      <c r="AO44"/>
      <c r="XEW44" s="2" t="s">
        <v>66</v>
      </c>
      <c r="XEX44" s="2" t="s">
        <v>11</v>
      </c>
    </row>
    <row r="45" spans="13:41 16377:16378">
      <c r="M45"/>
      <c r="R45"/>
      <c r="V45"/>
      <c r="Y45"/>
      <c r="AD45"/>
      <c r="AM45"/>
      <c r="AO45"/>
      <c r="XEW45" s="2" t="s">
        <v>67</v>
      </c>
      <c r="XEX45" s="9" t="s">
        <v>115</v>
      </c>
    </row>
    <row r="46" spans="13:41 16377:16378">
      <c r="M46"/>
      <c r="R46"/>
      <c r="V46"/>
      <c r="Y46"/>
      <c r="AD46"/>
      <c r="AM46"/>
      <c r="AO46"/>
      <c r="XEW46" s="2" t="s">
        <v>68</v>
      </c>
      <c r="XEX46" s="2" t="s">
        <v>48</v>
      </c>
    </row>
    <row r="47" spans="13:41 16377:16378">
      <c r="M47"/>
      <c r="R47"/>
      <c r="V47"/>
      <c r="Y47"/>
      <c r="AD47"/>
      <c r="AM47"/>
      <c r="AO47"/>
      <c r="XEW47" s="2" t="s">
        <v>69</v>
      </c>
      <c r="XEX47" s="2" t="s">
        <v>116</v>
      </c>
    </row>
    <row r="48" spans="13:41 16377:16378">
      <c r="M48"/>
      <c r="R48"/>
      <c r="V48"/>
      <c r="Y48"/>
      <c r="AD48"/>
      <c r="AM48"/>
      <c r="AO48"/>
      <c r="XEW48" s="2" t="s">
        <v>70</v>
      </c>
      <c r="XEX48" s="2" t="s">
        <v>117</v>
      </c>
    </row>
    <row r="49" spans="13:41 16377:16378">
      <c r="M49"/>
      <c r="R49"/>
      <c r="V49"/>
      <c r="Y49"/>
      <c r="AD49"/>
      <c r="AM49"/>
      <c r="AO49"/>
      <c r="XEW49" s="2" t="s">
        <v>71</v>
      </c>
      <c r="XEX49" s="2" t="s">
        <v>49</v>
      </c>
    </row>
    <row r="50" spans="13:41 16377:16378">
      <c r="M50"/>
      <c r="R50"/>
      <c r="V50"/>
      <c r="Y50"/>
      <c r="AD50"/>
      <c r="AM50"/>
      <c r="AO50"/>
      <c r="XEW50" s="2" t="s">
        <v>14</v>
      </c>
      <c r="XEX50" s="2" t="s">
        <v>118</v>
      </c>
    </row>
    <row r="51" spans="13:41 16377:16378">
      <c r="M51"/>
      <c r="R51"/>
      <c r="V51"/>
      <c r="Y51"/>
      <c r="AD51"/>
      <c r="AM51"/>
      <c r="AO51"/>
      <c r="XEW51" s="2" t="s">
        <v>15</v>
      </c>
      <c r="XEX51" s="2" t="s">
        <v>50</v>
      </c>
    </row>
    <row r="52" spans="13:41 16377:16378">
      <c r="M52"/>
      <c r="R52"/>
      <c r="V52"/>
      <c r="Y52"/>
      <c r="AD52"/>
      <c r="AM52"/>
      <c r="AO52"/>
      <c r="XEW52" s="4" t="s">
        <v>72</v>
      </c>
      <c r="XEX52" s="2" t="s">
        <v>119</v>
      </c>
    </row>
    <row r="53" spans="13:41 16377:16378">
      <c r="M53"/>
      <c r="R53"/>
      <c r="V53"/>
      <c r="Y53"/>
      <c r="AD53"/>
      <c r="AM53"/>
      <c r="AO53"/>
      <c r="XEW53" s="7" t="s">
        <v>17</v>
      </c>
      <c r="XEX53" s="2" t="s">
        <v>120</v>
      </c>
    </row>
    <row r="54" spans="13:41 16377:16378">
      <c r="M54"/>
      <c r="R54"/>
      <c r="V54"/>
      <c r="Y54"/>
      <c r="AD54"/>
      <c r="AM54"/>
      <c r="AO54"/>
      <c r="XEW54" s="4" t="s">
        <v>18</v>
      </c>
      <c r="XEX54" s="2" t="s">
        <v>51</v>
      </c>
    </row>
    <row r="55" spans="13:41 16377:16378">
      <c r="M55"/>
      <c r="R55"/>
      <c r="V55"/>
      <c r="Y55"/>
      <c r="AD55"/>
      <c r="AM55"/>
      <c r="AO55"/>
      <c r="XEW55" s="2" t="s">
        <v>73</v>
      </c>
      <c r="XEX55" s="2" t="s">
        <v>121</v>
      </c>
    </row>
    <row r="56" spans="13:41 16377:16378">
      <c r="M56"/>
      <c r="R56"/>
      <c r="V56"/>
      <c r="Y56"/>
      <c r="AD56"/>
      <c r="AM56"/>
      <c r="AO56"/>
      <c r="XEW56" s="2" t="s">
        <v>19</v>
      </c>
      <c r="XEX56" s="2" t="s">
        <v>122</v>
      </c>
    </row>
    <row r="57" spans="13:41 16377:16378">
      <c r="M57"/>
      <c r="R57"/>
      <c r="V57"/>
      <c r="Y57"/>
      <c r="AD57"/>
      <c r="AM57"/>
      <c r="AO57"/>
      <c r="XEW57" s="8" t="s">
        <v>74</v>
      </c>
      <c r="XEX57" s="2" t="s">
        <v>52</v>
      </c>
    </row>
    <row r="58" spans="13:41 16377:16378">
      <c r="M58"/>
      <c r="R58"/>
      <c r="V58"/>
      <c r="Y58"/>
      <c r="AD58"/>
      <c r="AM58"/>
      <c r="AO58"/>
      <c r="XEW58" s="8" t="s">
        <v>75</v>
      </c>
      <c r="XEX58" s="2" t="s">
        <v>123</v>
      </c>
    </row>
    <row r="59" spans="13:41 16377:16378">
      <c r="M59"/>
      <c r="R59"/>
      <c r="V59"/>
      <c r="Y59"/>
      <c r="AD59"/>
      <c r="AM59"/>
      <c r="AO59"/>
      <c r="XEW59" s="2" t="s">
        <v>76</v>
      </c>
      <c r="XEX59" s="2" t="s">
        <v>53</v>
      </c>
    </row>
    <row r="60" spans="13:41 16377:16378">
      <c r="M60"/>
      <c r="R60"/>
      <c r="V60"/>
      <c r="Y60"/>
      <c r="AD60"/>
      <c r="AM60"/>
      <c r="AO60"/>
      <c r="XEW60" s="2" t="s">
        <v>77</v>
      </c>
      <c r="XEX60" s="2" t="s">
        <v>124</v>
      </c>
    </row>
    <row r="61" spans="13:41 16377:16378">
      <c r="M61"/>
      <c r="R61"/>
      <c r="V61"/>
      <c r="Y61"/>
      <c r="AD61"/>
      <c r="AM61"/>
      <c r="AO61"/>
      <c r="XEW61" s="2" t="s">
        <v>78</v>
      </c>
      <c r="XEX61" s="2" t="s">
        <v>54</v>
      </c>
    </row>
    <row r="62" spans="13:41 16377:16378">
      <c r="M62"/>
      <c r="R62"/>
      <c r="V62"/>
      <c r="Y62"/>
      <c r="AD62"/>
      <c r="AM62"/>
      <c r="AO62"/>
      <c r="XEW62" s="2" t="s">
        <v>79</v>
      </c>
      <c r="XEX62" s="2" t="s">
        <v>125</v>
      </c>
    </row>
    <row r="63" spans="13:41 16377:16378">
      <c r="M63"/>
      <c r="R63"/>
      <c r="V63"/>
      <c r="Y63"/>
      <c r="AD63"/>
      <c r="AM63"/>
      <c r="AO63"/>
      <c r="XEW63" s="2" t="s">
        <v>21</v>
      </c>
      <c r="XEX63" s="2" t="s">
        <v>55</v>
      </c>
    </row>
    <row r="64" spans="13:41 16377:16378">
      <c r="M64"/>
      <c r="R64"/>
      <c r="V64"/>
      <c r="Y64"/>
      <c r="AD64"/>
      <c r="AM64"/>
      <c r="AO64"/>
      <c r="XEW64" s="4" t="s">
        <v>80</v>
      </c>
      <c r="XEX64" s="2" t="s">
        <v>126</v>
      </c>
    </row>
    <row r="65" spans="13:41 16377:16378">
      <c r="M65"/>
      <c r="R65"/>
      <c r="V65"/>
      <c r="Y65"/>
      <c r="AD65"/>
      <c r="AM65"/>
      <c r="AO65"/>
      <c r="XEW65" s="2" t="s">
        <v>81</v>
      </c>
      <c r="XEX65" s="9" t="s">
        <v>56</v>
      </c>
    </row>
    <row r="66" spans="13:41 16377:16378">
      <c r="M66"/>
      <c r="R66"/>
      <c r="V66"/>
      <c r="Y66"/>
      <c r="AD66"/>
      <c r="AM66"/>
      <c r="AO66"/>
      <c r="XEW66" s="11" t="s">
        <v>82</v>
      </c>
      <c r="XEX66" s="9" t="s">
        <v>57</v>
      </c>
    </row>
    <row r="67" spans="13:41 16377:16378">
      <c r="M67"/>
      <c r="R67"/>
      <c r="V67"/>
      <c r="Y67"/>
      <c r="AD67"/>
      <c r="AM67"/>
      <c r="AO67"/>
      <c r="XEW67" s="2" t="s">
        <v>83</v>
      </c>
      <c r="XEX67" s="9" t="s">
        <v>127</v>
      </c>
    </row>
    <row r="68" spans="13:41 16377:16378">
      <c r="M68"/>
      <c r="R68"/>
      <c r="V68"/>
      <c r="Y68"/>
      <c r="AD68"/>
      <c r="AM68"/>
      <c r="AO68"/>
      <c r="XEW68" s="4" t="s">
        <v>84</v>
      </c>
      <c r="XEX68" s="2" t="s">
        <v>58</v>
      </c>
    </row>
    <row r="69" spans="13:41 16377:16378">
      <c r="M69"/>
      <c r="R69"/>
      <c r="V69"/>
      <c r="Y69"/>
      <c r="AD69"/>
      <c r="AM69"/>
      <c r="AO69"/>
      <c r="XEW69" s="8" t="s">
        <v>22</v>
      </c>
      <c r="XEX69" s="2" t="s">
        <v>128</v>
      </c>
    </row>
    <row r="70" spans="13:41 16377:16378">
      <c r="M70"/>
      <c r="R70"/>
      <c r="V70"/>
      <c r="Y70"/>
      <c r="AD70"/>
      <c r="AM70"/>
      <c r="AO70"/>
      <c r="XEW70" s="2" t="s">
        <v>85</v>
      </c>
      <c r="XEX70" s="2" t="s">
        <v>59</v>
      </c>
    </row>
    <row r="71" spans="13:41 16377:16378">
      <c r="M71"/>
      <c r="R71"/>
      <c r="V71"/>
      <c r="Y71"/>
      <c r="AD71"/>
      <c r="AM71"/>
      <c r="AO71"/>
      <c r="XEW71" s="2" t="s">
        <v>86</v>
      </c>
      <c r="XEX71" s="2" t="s">
        <v>129</v>
      </c>
    </row>
    <row r="72" spans="13:41 16377:16378">
      <c r="M72"/>
      <c r="R72"/>
      <c r="V72"/>
      <c r="Y72"/>
      <c r="AD72"/>
      <c r="AM72"/>
      <c r="AO72"/>
      <c r="XEW72" s="8" t="s">
        <v>24</v>
      </c>
      <c r="XEX72" s="2" t="s">
        <v>130</v>
      </c>
    </row>
    <row r="73" spans="13:41 16377:16378">
      <c r="M73"/>
      <c r="R73"/>
      <c r="V73"/>
      <c r="Y73"/>
      <c r="AD73"/>
      <c r="AM73"/>
      <c r="AO73"/>
      <c r="XEW73" s="8" t="s">
        <v>87</v>
      </c>
      <c r="XEX73" s="2" t="s">
        <v>131</v>
      </c>
    </row>
    <row r="74" spans="13:41 16377:16378">
      <c r="M74"/>
      <c r="R74"/>
      <c r="V74"/>
      <c r="Y74"/>
      <c r="AD74"/>
      <c r="AM74"/>
      <c r="AO74"/>
      <c r="XEW74" s="8" t="s">
        <v>23</v>
      </c>
      <c r="XEX74" s="2" t="s">
        <v>60</v>
      </c>
    </row>
    <row r="75" spans="13:41 16377:16378">
      <c r="M75"/>
      <c r="R75"/>
      <c r="V75"/>
      <c r="Y75"/>
      <c r="AD75"/>
      <c r="AM75"/>
      <c r="AO75"/>
      <c r="XEW75" s="8" t="s">
        <v>88</v>
      </c>
      <c r="XEX75" s="2" t="s">
        <v>132</v>
      </c>
    </row>
    <row r="76" spans="13:41 16377:16378">
      <c r="M76"/>
      <c r="R76"/>
      <c r="V76"/>
      <c r="Y76"/>
      <c r="AD76"/>
      <c r="AM76"/>
      <c r="AO76"/>
      <c r="XEW76" s="2" t="s">
        <v>89</v>
      </c>
      <c r="XEX76" s="2" t="s">
        <v>61</v>
      </c>
    </row>
    <row r="77" spans="13:41 16377:16378">
      <c r="M77"/>
      <c r="R77"/>
      <c r="V77"/>
      <c r="Y77"/>
      <c r="AD77"/>
      <c r="AM77"/>
      <c r="AO77"/>
      <c r="XEW77" s="2" t="s">
        <v>90</v>
      </c>
      <c r="XEX77" s="2" t="s">
        <v>133</v>
      </c>
    </row>
    <row r="78" spans="13:41 16377:16378">
      <c r="M78"/>
      <c r="R78"/>
      <c r="V78"/>
      <c r="Y78"/>
      <c r="AD78"/>
      <c r="AM78"/>
      <c r="AO78"/>
      <c r="XEW78" s="2" t="s">
        <v>91</v>
      </c>
      <c r="XEX78" s="2" t="s">
        <v>62</v>
      </c>
    </row>
    <row r="79" spans="13:41 16377:16378">
      <c r="M79"/>
      <c r="R79"/>
      <c r="V79"/>
      <c r="Y79"/>
      <c r="AD79"/>
      <c r="AM79"/>
      <c r="AO79"/>
      <c r="XEW79" s="2" t="s">
        <v>92</v>
      </c>
      <c r="XEX79" s="2" t="s">
        <v>134</v>
      </c>
    </row>
    <row r="80" spans="13:41 16377:16378">
      <c r="M80"/>
      <c r="R80"/>
      <c r="V80"/>
      <c r="Y80"/>
      <c r="AD80"/>
      <c r="AM80"/>
      <c r="AO80"/>
      <c r="XEW80" s="2" t="s">
        <v>93</v>
      </c>
      <c r="XEX80" s="2" t="s">
        <v>63</v>
      </c>
    </row>
    <row r="81" spans="13:41 16377:16378">
      <c r="M81"/>
      <c r="R81"/>
      <c r="V81"/>
      <c r="Y81"/>
      <c r="AD81"/>
      <c r="AM81"/>
      <c r="AO81"/>
      <c r="XEW81" s="8" t="s">
        <v>94</v>
      </c>
      <c r="XEX81" s="2" t="s">
        <v>135</v>
      </c>
    </row>
    <row r="82" spans="13:41 16377:16378">
      <c r="M82"/>
      <c r="R82"/>
      <c r="V82"/>
      <c r="Y82"/>
      <c r="AD82"/>
      <c r="AM82"/>
      <c r="AO82"/>
      <c r="XEX82" s="2" t="s">
        <v>136</v>
      </c>
    </row>
    <row r="83" spans="13:41 16377:16378">
      <c r="M83"/>
      <c r="R83"/>
      <c r="V83"/>
      <c r="Y83"/>
      <c r="AD83"/>
      <c r="AM83"/>
      <c r="AO83"/>
      <c r="XEX83" s="2" t="s">
        <v>64</v>
      </c>
    </row>
    <row r="84" spans="13:41 16377:16378">
      <c r="M84"/>
      <c r="R84"/>
      <c r="V84"/>
      <c r="Y84"/>
      <c r="AD84"/>
      <c r="AM84"/>
      <c r="AO84"/>
      <c r="XEX84" s="2" t="s">
        <v>137</v>
      </c>
    </row>
    <row r="85" spans="13:41 16377:16378">
      <c r="M85"/>
      <c r="R85"/>
      <c r="V85"/>
      <c r="Y85"/>
      <c r="AD85"/>
      <c r="AM85"/>
      <c r="AO85"/>
      <c r="XEX85" s="2" t="s">
        <v>138</v>
      </c>
    </row>
    <row r="86" spans="13:41 16377:16378">
      <c r="M86"/>
      <c r="R86"/>
      <c r="V86"/>
      <c r="Y86"/>
      <c r="AD86"/>
      <c r="AM86"/>
      <c r="AO86"/>
      <c r="XEX86" s="2" t="s">
        <v>139</v>
      </c>
    </row>
    <row r="87" spans="13:41 16377:16378">
      <c r="M87"/>
      <c r="R87"/>
      <c r="V87"/>
      <c r="Y87"/>
      <c r="AD87"/>
      <c r="AM87"/>
      <c r="AO87"/>
      <c r="XEX87" s="2" t="s">
        <v>65</v>
      </c>
    </row>
    <row r="88" spans="13:41 16377:16378">
      <c r="M88"/>
      <c r="R88"/>
      <c r="V88"/>
      <c r="Y88"/>
      <c r="AD88"/>
      <c r="AM88"/>
      <c r="AO88"/>
      <c r="XEX88" s="2" t="s">
        <v>140</v>
      </c>
    </row>
    <row r="89" spans="13:41 16377:16378">
      <c r="M89"/>
      <c r="R89"/>
      <c r="V89"/>
      <c r="Y89"/>
      <c r="AD89"/>
      <c r="AM89"/>
      <c r="AO89"/>
      <c r="XEX89" s="2" t="s">
        <v>141</v>
      </c>
    </row>
    <row r="90" spans="13:41 16377:16378">
      <c r="M90"/>
      <c r="R90"/>
      <c r="V90"/>
      <c r="Y90"/>
      <c r="AD90"/>
      <c r="AM90"/>
      <c r="AO90"/>
      <c r="XEX90" s="2" t="s">
        <v>142</v>
      </c>
    </row>
    <row r="91" spans="13:41 16377:16378">
      <c r="M91"/>
      <c r="R91"/>
      <c r="V91"/>
      <c r="Y91"/>
      <c r="AD91"/>
      <c r="AM91"/>
      <c r="AO91"/>
      <c r="XEX91" s="2" t="s">
        <v>143</v>
      </c>
    </row>
    <row r="92" spans="13:41 16377:16378">
      <c r="M92"/>
      <c r="R92"/>
      <c r="V92"/>
      <c r="Y92"/>
      <c r="AD92"/>
      <c r="AM92"/>
      <c r="AO92"/>
      <c r="XEX92" s="2" t="s">
        <v>66</v>
      </c>
    </row>
    <row r="93" spans="13:41 16377:16378">
      <c r="M93"/>
      <c r="R93"/>
      <c r="V93"/>
      <c r="Y93"/>
      <c r="AD93"/>
      <c r="AM93"/>
      <c r="AO93"/>
      <c r="XEX93" s="2" t="s">
        <v>67</v>
      </c>
    </row>
    <row r="94" spans="13:41 16377:16378">
      <c r="M94"/>
      <c r="R94"/>
      <c r="V94"/>
      <c r="Y94"/>
      <c r="AD94"/>
      <c r="AM94"/>
      <c r="AO94"/>
      <c r="XEX94" s="2" t="s">
        <v>144</v>
      </c>
    </row>
    <row r="95" spans="13:41 16377:16378">
      <c r="M95"/>
      <c r="R95"/>
      <c r="V95"/>
      <c r="Y95"/>
      <c r="AD95"/>
      <c r="AM95"/>
      <c r="AO95"/>
      <c r="XEX95" s="2" t="s">
        <v>145</v>
      </c>
    </row>
    <row r="96" spans="13:41 16377:16378">
      <c r="M96"/>
      <c r="R96"/>
      <c r="V96"/>
      <c r="Y96"/>
      <c r="AD96"/>
      <c r="AM96"/>
      <c r="AO96"/>
      <c r="XEX96" s="2" t="s">
        <v>146</v>
      </c>
    </row>
    <row r="97" spans="13:41 16378:16378">
      <c r="M97"/>
      <c r="R97"/>
      <c r="V97"/>
      <c r="Y97"/>
      <c r="AD97"/>
      <c r="AM97"/>
      <c r="AO97"/>
      <c r="XEX97" s="2" t="s">
        <v>68</v>
      </c>
    </row>
    <row r="98" spans="13:41 16378:16378">
      <c r="M98"/>
      <c r="R98"/>
      <c r="V98"/>
      <c r="Y98"/>
      <c r="AD98"/>
      <c r="AM98"/>
      <c r="AO98"/>
      <c r="XEX98" s="2" t="s">
        <v>147</v>
      </c>
    </row>
    <row r="99" spans="13:41 16378:16378">
      <c r="M99"/>
      <c r="R99"/>
      <c r="V99"/>
      <c r="Y99"/>
      <c r="AD99"/>
      <c r="AM99"/>
      <c r="AO99"/>
      <c r="XEX99" s="2" t="s">
        <v>148</v>
      </c>
    </row>
    <row r="100" spans="13:41 16378:16378">
      <c r="M100"/>
      <c r="R100"/>
      <c r="V100"/>
      <c r="Y100"/>
      <c r="AD100"/>
      <c r="AM100"/>
      <c r="AO100"/>
      <c r="XEX100" s="2" t="s">
        <v>69</v>
      </c>
    </row>
    <row r="101" spans="13:41 16378:16378">
      <c r="M101"/>
      <c r="R101"/>
      <c r="V101"/>
      <c r="Y101"/>
      <c r="AD101"/>
      <c r="AM101"/>
      <c r="AO101"/>
      <c r="XEX101" s="2" t="s">
        <v>149</v>
      </c>
    </row>
    <row r="102" spans="13:41 16378:16378">
      <c r="M102"/>
      <c r="R102"/>
      <c r="V102"/>
      <c r="Y102"/>
      <c r="AD102"/>
      <c r="AM102"/>
      <c r="AO102"/>
      <c r="XEX102" s="2" t="s">
        <v>150</v>
      </c>
    </row>
    <row r="103" spans="13:41 16378:16378">
      <c r="M103"/>
      <c r="R103"/>
      <c r="V103"/>
      <c r="Y103"/>
      <c r="AD103"/>
      <c r="AM103"/>
      <c r="AO103"/>
      <c r="XEX103" s="2" t="s">
        <v>70</v>
      </c>
    </row>
    <row r="104" spans="13:41 16378:16378">
      <c r="M104"/>
      <c r="R104"/>
      <c r="V104"/>
      <c r="Y104"/>
      <c r="AD104"/>
      <c r="AM104"/>
      <c r="AO104"/>
      <c r="XEX104" s="2" t="s">
        <v>151</v>
      </c>
    </row>
    <row r="105" spans="13:41 16378:16378">
      <c r="M105"/>
      <c r="R105"/>
      <c r="V105"/>
      <c r="Y105"/>
      <c r="AD105"/>
      <c r="AM105"/>
      <c r="AO105"/>
      <c r="XEX105" s="2" t="s">
        <v>71</v>
      </c>
    </row>
    <row r="106" spans="13:41 16378:16378">
      <c r="M106"/>
      <c r="R106"/>
      <c r="V106"/>
      <c r="Y106"/>
      <c r="AD106"/>
      <c r="AM106"/>
      <c r="AO106"/>
      <c r="XEX106" s="2" t="s">
        <v>152</v>
      </c>
    </row>
    <row r="107" spans="13:41 16378:16378">
      <c r="M107"/>
      <c r="R107"/>
      <c r="V107"/>
      <c r="Y107"/>
      <c r="AD107"/>
      <c r="AM107"/>
      <c r="AO107"/>
      <c r="XEX107" s="2" t="s">
        <v>153</v>
      </c>
    </row>
    <row r="108" spans="13:41 16378:16378">
      <c r="M108"/>
      <c r="R108"/>
      <c r="V108"/>
      <c r="Y108"/>
      <c r="AD108"/>
      <c r="AM108"/>
      <c r="AO108"/>
      <c r="XEX108" s="2" t="s">
        <v>14</v>
      </c>
    </row>
    <row r="109" spans="13:41 16378:16378">
      <c r="M109"/>
      <c r="R109"/>
      <c r="V109"/>
      <c r="Y109"/>
      <c r="AD109"/>
      <c r="AM109"/>
      <c r="AO109"/>
      <c r="XEX109" s="2" t="s">
        <v>154</v>
      </c>
    </row>
    <row r="110" spans="13:41 16378:16378">
      <c r="M110"/>
      <c r="R110"/>
      <c r="V110"/>
      <c r="Y110"/>
      <c r="AD110"/>
      <c r="AM110"/>
      <c r="AO110"/>
      <c r="XEX110" s="2" t="s">
        <v>155</v>
      </c>
    </row>
    <row r="111" spans="13:41 16378:16378">
      <c r="M111"/>
      <c r="R111"/>
      <c r="V111"/>
      <c r="Y111"/>
      <c r="AD111"/>
      <c r="AM111"/>
      <c r="AO111"/>
      <c r="XEX111" s="2" t="s">
        <v>156</v>
      </c>
    </row>
    <row r="112" spans="13:41 16378:16378">
      <c r="M112"/>
      <c r="R112"/>
      <c r="V112"/>
      <c r="Y112"/>
      <c r="AD112"/>
      <c r="AM112"/>
      <c r="AO112"/>
      <c r="XEX112" s="2" t="s">
        <v>15</v>
      </c>
    </row>
    <row r="113" spans="13:41 16378:16378">
      <c r="M113"/>
      <c r="R113"/>
      <c r="V113"/>
      <c r="Y113"/>
      <c r="AD113"/>
      <c r="AM113"/>
      <c r="AO113"/>
      <c r="XEX113" s="2" t="s">
        <v>157</v>
      </c>
    </row>
    <row r="114" spans="13:41 16378:16378">
      <c r="M114"/>
      <c r="R114"/>
      <c r="V114"/>
      <c r="Y114"/>
      <c r="AD114"/>
      <c r="AM114"/>
      <c r="AO114"/>
      <c r="XEX114" s="2" t="s">
        <v>158</v>
      </c>
    </row>
    <row r="115" spans="13:41 16378:16378">
      <c r="M115"/>
      <c r="R115"/>
      <c r="V115"/>
      <c r="Y115"/>
      <c r="AD115"/>
      <c r="AM115"/>
      <c r="AO115"/>
      <c r="XEX115" s="2" t="s">
        <v>159</v>
      </c>
    </row>
    <row r="116" spans="13:41 16378:16378">
      <c r="M116"/>
      <c r="R116"/>
      <c r="V116"/>
      <c r="Y116"/>
      <c r="AD116"/>
      <c r="AM116"/>
      <c r="AO116"/>
      <c r="XEX116" s="4" t="s">
        <v>72</v>
      </c>
    </row>
    <row r="117" spans="13:41 16378:16378">
      <c r="M117"/>
      <c r="R117"/>
      <c r="V117"/>
      <c r="Y117"/>
      <c r="AD117"/>
      <c r="AM117"/>
      <c r="AO117"/>
      <c r="XEX117" s="7" t="s">
        <v>17</v>
      </c>
    </row>
    <row r="118" spans="13:41 16378:16378">
      <c r="M118"/>
      <c r="R118"/>
      <c r="V118"/>
      <c r="Y118"/>
      <c r="AD118"/>
      <c r="AM118"/>
      <c r="AO118"/>
      <c r="XEX118" s="4" t="s">
        <v>18</v>
      </c>
    </row>
    <row r="119" spans="13:41 16378:16378">
      <c r="M119"/>
      <c r="R119"/>
      <c r="V119"/>
      <c r="Y119"/>
      <c r="AD119"/>
      <c r="AM119"/>
      <c r="AO119"/>
      <c r="XEX119" s="2" t="s">
        <v>73</v>
      </c>
    </row>
    <row r="120" spans="13:41 16378:16378">
      <c r="M120"/>
      <c r="R120"/>
      <c r="V120"/>
      <c r="Y120"/>
      <c r="AD120"/>
      <c r="AM120"/>
      <c r="AO120"/>
      <c r="XEX120" s="2" t="s">
        <v>19</v>
      </c>
    </row>
    <row r="121" spans="13:41 16378:16378">
      <c r="M121"/>
      <c r="R121"/>
      <c r="V121"/>
      <c r="Y121"/>
      <c r="AD121"/>
      <c r="AM121"/>
      <c r="AO121"/>
      <c r="XEX121" s="2" t="s">
        <v>160</v>
      </c>
    </row>
    <row r="122" spans="13:41 16378:16378">
      <c r="M122"/>
      <c r="R122"/>
      <c r="V122"/>
      <c r="Y122"/>
      <c r="AD122"/>
      <c r="AM122"/>
      <c r="AO122"/>
      <c r="XEX122" s="2" t="s">
        <v>161</v>
      </c>
    </row>
    <row r="123" spans="13:41 16378:16378">
      <c r="M123"/>
      <c r="R123"/>
      <c r="V123"/>
      <c r="Y123"/>
      <c r="AD123"/>
      <c r="AM123"/>
      <c r="AO123"/>
      <c r="XEX123" s="8" t="s">
        <v>74</v>
      </c>
    </row>
    <row r="124" spans="13:41 16378:16378">
      <c r="M124"/>
      <c r="R124"/>
      <c r="V124"/>
      <c r="Y124"/>
      <c r="AD124"/>
      <c r="AM124"/>
      <c r="AO124"/>
      <c r="XEX124" s="8" t="s">
        <v>162</v>
      </c>
    </row>
    <row r="125" spans="13:41 16378:16378">
      <c r="M125"/>
      <c r="R125"/>
      <c r="V125"/>
      <c r="Y125"/>
      <c r="AD125"/>
      <c r="AM125"/>
      <c r="AO125"/>
      <c r="XEX125" s="8" t="s">
        <v>75</v>
      </c>
    </row>
    <row r="126" spans="13:41 16378:16378">
      <c r="M126"/>
      <c r="R126"/>
      <c r="V126"/>
      <c r="Y126"/>
      <c r="AD126"/>
      <c r="AM126"/>
      <c r="AO126"/>
      <c r="XEX126" s="2" t="s">
        <v>76</v>
      </c>
    </row>
    <row r="127" spans="13:41 16378:16378">
      <c r="M127"/>
      <c r="R127"/>
      <c r="V127"/>
      <c r="Y127"/>
      <c r="AD127"/>
      <c r="AM127"/>
      <c r="AO127"/>
      <c r="XEX127" s="2" t="s">
        <v>77</v>
      </c>
    </row>
    <row r="128" spans="13:41 16378:16378">
      <c r="M128"/>
      <c r="R128"/>
      <c r="V128"/>
      <c r="Y128"/>
      <c r="AD128"/>
      <c r="AM128"/>
      <c r="AO128"/>
      <c r="XEX128" s="2" t="s">
        <v>78</v>
      </c>
    </row>
    <row r="129" spans="13:41 16378:16378">
      <c r="M129"/>
      <c r="R129"/>
      <c r="V129"/>
      <c r="Y129"/>
      <c r="AD129"/>
      <c r="AM129"/>
      <c r="AO129"/>
      <c r="XEX129" s="2" t="s">
        <v>163</v>
      </c>
    </row>
    <row r="130" spans="13:41 16378:16378">
      <c r="M130"/>
      <c r="R130"/>
      <c r="V130"/>
      <c r="Y130"/>
      <c r="AD130"/>
      <c r="AM130"/>
      <c r="AO130"/>
      <c r="XEX130" s="2" t="s">
        <v>164</v>
      </c>
    </row>
    <row r="131" spans="13:41 16378:16378">
      <c r="M131"/>
      <c r="R131"/>
      <c r="V131"/>
      <c r="Y131"/>
      <c r="AD131"/>
      <c r="AM131"/>
      <c r="AO131"/>
      <c r="XEX131" s="2" t="s">
        <v>79</v>
      </c>
    </row>
    <row r="132" spans="13:41 16378:16378">
      <c r="M132"/>
      <c r="R132"/>
      <c r="V132"/>
      <c r="Y132"/>
      <c r="AD132"/>
      <c r="AM132"/>
      <c r="AO132"/>
      <c r="XEX132" s="2" t="s">
        <v>21</v>
      </c>
    </row>
    <row r="133" spans="13:41 16378:16378">
      <c r="M133"/>
      <c r="R133"/>
      <c r="V133"/>
      <c r="Y133"/>
      <c r="AD133"/>
      <c r="AM133"/>
      <c r="AO133"/>
      <c r="XEX133" s="4" t="s">
        <v>165</v>
      </c>
    </row>
    <row r="134" spans="13:41 16378:16378">
      <c r="M134"/>
      <c r="R134"/>
      <c r="V134"/>
      <c r="Y134"/>
      <c r="AD134"/>
      <c r="AM134"/>
      <c r="AO134"/>
      <c r="XEX134" s="4" t="s">
        <v>80</v>
      </c>
    </row>
    <row r="135" spans="13:41 16378:16378">
      <c r="M135"/>
      <c r="R135"/>
      <c r="V135"/>
      <c r="Y135"/>
      <c r="AD135"/>
      <c r="AM135"/>
      <c r="AO135"/>
      <c r="XEX135" s="2" t="s">
        <v>81</v>
      </c>
    </row>
    <row r="136" spans="13:41 16378:16378">
      <c r="M136"/>
      <c r="R136"/>
      <c r="V136"/>
      <c r="Y136"/>
      <c r="AD136"/>
      <c r="AM136"/>
      <c r="AO136"/>
      <c r="XEX136" s="2" t="s">
        <v>166</v>
      </c>
    </row>
    <row r="137" spans="13:41 16378:16378">
      <c r="M137"/>
      <c r="R137"/>
      <c r="V137"/>
      <c r="Y137"/>
      <c r="AD137"/>
      <c r="AM137"/>
      <c r="AO137"/>
      <c r="XEX137" s="2" t="s">
        <v>167</v>
      </c>
    </row>
    <row r="138" spans="13:41 16378:16378">
      <c r="M138"/>
      <c r="R138"/>
      <c r="V138"/>
      <c r="Y138"/>
      <c r="AD138"/>
      <c r="AM138"/>
      <c r="AO138"/>
      <c r="XEX138" s="11" t="s">
        <v>82</v>
      </c>
    </row>
    <row r="139" spans="13:41 16378:16378">
      <c r="M139"/>
      <c r="R139"/>
      <c r="V139"/>
      <c r="Y139"/>
      <c r="AD139"/>
      <c r="AM139"/>
      <c r="AO139"/>
      <c r="XEX139" s="11" t="s">
        <v>168</v>
      </c>
    </row>
    <row r="140" spans="13:41 16378:16378">
      <c r="M140"/>
      <c r="R140"/>
      <c r="V140"/>
      <c r="Y140"/>
      <c r="AD140"/>
      <c r="AM140"/>
      <c r="AO140"/>
      <c r="XEX140" s="11" t="s">
        <v>169</v>
      </c>
    </row>
    <row r="141" spans="13:41 16378:16378">
      <c r="M141"/>
      <c r="R141"/>
      <c r="V141"/>
      <c r="Y141"/>
      <c r="AD141"/>
      <c r="AM141"/>
      <c r="AO141"/>
      <c r="XEX141" s="2" t="s">
        <v>83</v>
      </c>
    </row>
    <row r="142" spans="13:41 16378:16378">
      <c r="M142"/>
      <c r="R142"/>
      <c r="V142"/>
      <c r="Y142"/>
      <c r="AD142"/>
      <c r="AM142"/>
      <c r="AO142"/>
      <c r="XEX142" s="2" t="s">
        <v>170</v>
      </c>
    </row>
    <row r="143" spans="13:41 16378:16378">
      <c r="M143"/>
      <c r="R143"/>
      <c r="V143"/>
      <c r="Y143"/>
      <c r="AD143"/>
      <c r="AM143"/>
      <c r="AO143"/>
      <c r="XEX143" s="4" t="s">
        <v>84</v>
      </c>
    </row>
    <row r="144" spans="13:41 16378:16378">
      <c r="M144"/>
      <c r="R144"/>
      <c r="V144"/>
      <c r="Y144"/>
      <c r="AD144"/>
      <c r="AM144"/>
      <c r="AO144"/>
      <c r="XEX144" s="8" t="s">
        <v>22</v>
      </c>
    </row>
    <row r="145" spans="13:41 16378:16378">
      <c r="M145"/>
      <c r="R145"/>
      <c r="V145"/>
      <c r="Y145"/>
      <c r="AD145"/>
      <c r="AM145"/>
      <c r="AO145"/>
      <c r="XEX145" s="2" t="s">
        <v>85</v>
      </c>
    </row>
    <row r="146" spans="13:41 16378:16378">
      <c r="M146"/>
      <c r="R146"/>
      <c r="V146"/>
      <c r="Y146"/>
      <c r="AD146"/>
      <c r="AM146"/>
      <c r="AO146"/>
      <c r="XEX146" s="2" t="s">
        <v>171</v>
      </c>
    </row>
    <row r="147" spans="13:41 16378:16378">
      <c r="M147"/>
      <c r="R147"/>
      <c r="V147"/>
      <c r="Y147"/>
      <c r="AD147"/>
      <c r="AM147"/>
      <c r="AO147"/>
      <c r="XEX147" s="2" t="s">
        <v>86</v>
      </c>
    </row>
    <row r="148" spans="13:41 16378:16378">
      <c r="M148"/>
      <c r="R148"/>
      <c r="V148"/>
      <c r="Y148"/>
      <c r="AD148"/>
      <c r="AM148"/>
      <c r="AO148"/>
      <c r="XEX148" s="2" t="s">
        <v>172</v>
      </c>
    </row>
    <row r="149" spans="13:41 16378:16378">
      <c r="M149"/>
      <c r="R149"/>
      <c r="V149"/>
      <c r="Y149"/>
      <c r="AD149"/>
      <c r="AM149"/>
      <c r="AO149"/>
      <c r="XEX149" s="2" t="s">
        <v>173</v>
      </c>
    </row>
    <row r="150" spans="13:41 16378:16378">
      <c r="M150"/>
      <c r="R150"/>
      <c r="V150"/>
      <c r="Y150"/>
      <c r="AD150"/>
      <c r="AM150"/>
      <c r="AO150"/>
      <c r="XEX150" s="8" t="s">
        <v>24</v>
      </c>
    </row>
    <row r="151" spans="13:41 16378:16378">
      <c r="M151"/>
      <c r="R151"/>
      <c r="V151"/>
      <c r="Y151"/>
      <c r="AD151"/>
      <c r="AM151"/>
      <c r="AO151"/>
      <c r="XEX151" s="8" t="s">
        <v>174</v>
      </c>
    </row>
    <row r="152" spans="13:41 16378:16378">
      <c r="M152"/>
      <c r="R152"/>
      <c r="V152"/>
      <c r="Y152"/>
      <c r="AD152"/>
      <c r="AM152"/>
      <c r="AO152"/>
      <c r="XEX152" s="8" t="s">
        <v>175</v>
      </c>
    </row>
    <row r="153" spans="13:41 16378:16378">
      <c r="M153"/>
      <c r="R153"/>
      <c r="V153"/>
      <c r="Y153"/>
      <c r="AD153"/>
      <c r="AM153"/>
      <c r="AO153"/>
      <c r="XEX153" s="8" t="s">
        <v>176</v>
      </c>
    </row>
    <row r="154" spans="13:41 16378:16378">
      <c r="M154"/>
      <c r="R154"/>
      <c r="V154"/>
      <c r="Y154"/>
      <c r="AD154"/>
      <c r="AM154"/>
      <c r="AO154"/>
      <c r="XEX154" s="8" t="s">
        <v>87</v>
      </c>
    </row>
    <row r="155" spans="13:41 16378:16378">
      <c r="M155"/>
      <c r="R155"/>
      <c r="V155"/>
      <c r="Y155"/>
      <c r="AD155"/>
      <c r="AM155"/>
      <c r="AO155"/>
      <c r="XEX155" s="8" t="s">
        <v>23</v>
      </c>
    </row>
    <row r="156" spans="13:41 16378:16378">
      <c r="M156"/>
      <c r="R156"/>
      <c r="V156"/>
      <c r="Y156"/>
      <c r="AD156"/>
      <c r="AM156"/>
      <c r="AO156"/>
      <c r="XEX156" s="8" t="s">
        <v>177</v>
      </c>
    </row>
    <row r="157" spans="13:41 16378:16378">
      <c r="M157"/>
      <c r="R157"/>
      <c r="V157"/>
      <c r="Y157"/>
      <c r="AD157"/>
      <c r="AM157"/>
      <c r="AO157"/>
      <c r="XEX157" s="8" t="s">
        <v>178</v>
      </c>
    </row>
    <row r="158" spans="13:41 16378:16378">
      <c r="M158"/>
      <c r="R158"/>
      <c r="V158"/>
      <c r="Y158"/>
      <c r="AD158"/>
      <c r="AM158"/>
      <c r="AO158"/>
      <c r="XEX158" s="8" t="s">
        <v>88</v>
      </c>
    </row>
    <row r="159" spans="13:41 16378:16378">
      <c r="M159"/>
      <c r="R159"/>
      <c r="V159"/>
      <c r="Y159"/>
      <c r="AD159"/>
      <c r="AM159"/>
      <c r="AO159"/>
      <c r="XEX159" s="2" t="s">
        <v>89</v>
      </c>
    </row>
    <row r="160" spans="13:41 16378:16378">
      <c r="M160"/>
      <c r="R160"/>
      <c r="V160"/>
      <c r="Y160"/>
      <c r="AD160"/>
      <c r="AM160"/>
      <c r="AO160"/>
      <c r="XEX160" s="2" t="s">
        <v>179</v>
      </c>
    </row>
    <row r="161" spans="13:41 16378:16378">
      <c r="M161"/>
      <c r="R161"/>
      <c r="V161"/>
      <c r="Y161"/>
      <c r="AD161"/>
      <c r="AM161"/>
      <c r="AO161"/>
      <c r="XEX161" s="2" t="s">
        <v>180</v>
      </c>
    </row>
    <row r="162" spans="13:41 16378:16378">
      <c r="M162"/>
      <c r="R162"/>
      <c r="V162"/>
      <c r="Y162"/>
      <c r="AD162"/>
      <c r="AM162"/>
      <c r="AO162"/>
      <c r="XEX162" s="2" t="s">
        <v>90</v>
      </c>
    </row>
    <row r="163" spans="13:41 16378:16378">
      <c r="M163"/>
      <c r="R163"/>
      <c r="V163"/>
      <c r="Y163"/>
      <c r="AD163"/>
      <c r="AM163"/>
      <c r="AO163"/>
      <c r="XEX163" s="2" t="s">
        <v>181</v>
      </c>
    </row>
    <row r="164" spans="13:41 16378:16378">
      <c r="M164"/>
      <c r="R164"/>
      <c r="V164"/>
      <c r="Y164"/>
      <c r="AD164"/>
      <c r="AM164"/>
      <c r="AO164"/>
      <c r="XEX164" s="2" t="s">
        <v>182</v>
      </c>
    </row>
    <row r="165" spans="13:41 16378:16378">
      <c r="M165"/>
      <c r="R165"/>
      <c r="V165"/>
      <c r="Y165"/>
      <c r="AD165"/>
      <c r="AM165"/>
      <c r="AO165"/>
      <c r="XEX165" s="2" t="s">
        <v>91</v>
      </c>
    </row>
    <row r="166" spans="13:41 16378:16378">
      <c r="M166"/>
      <c r="R166"/>
      <c r="V166"/>
      <c r="Y166"/>
      <c r="AD166"/>
      <c r="AM166"/>
      <c r="AO166"/>
      <c r="XEX166" s="2" t="s">
        <v>183</v>
      </c>
    </row>
    <row r="167" spans="13:41 16378:16378">
      <c r="M167"/>
      <c r="R167"/>
      <c r="V167"/>
      <c r="Y167"/>
      <c r="AD167"/>
      <c r="AM167"/>
      <c r="AO167"/>
      <c r="XEX167" s="2" t="s">
        <v>92</v>
      </c>
    </row>
    <row r="168" spans="13:41 16378:16378">
      <c r="M168"/>
      <c r="R168"/>
      <c r="V168"/>
      <c r="Y168"/>
      <c r="AD168"/>
      <c r="AM168"/>
      <c r="AO168"/>
      <c r="XEX168" s="2" t="s">
        <v>184</v>
      </c>
    </row>
    <row r="169" spans="13:41 16378:16378">
      <c r="M169"/>
      <c r="R169"/>
      <c r="V169"/>
      <c r="Y169"/>
      <c r="AD169"/>
      <c r="AM169"/>
      <c r="AO169"/>
      <c r="XEX169" s="2" t="s">
        <v>185</v>
      </c>
    </row>
    <row r="170" spans="13:41 16378:16378">
      <c r="M170"/>
      <c r="R170"/>
      <c r="V170"/>
      <c r="Y170"/>
      <c r="AD170"/>
      <c r="AM170"/>
      <c r="AO170"/>
      <c r="XEX170" s="2" t="s">
        <v>186</v>
      </c>
    </row>
    <row r="171" spans="13:41 16378:16378">
      <c r="M171"/>
      <c r="R171"/>
      <c r="V171"/>
      <c r="Y171"/>
      <c r="AD171"/>
      <c r="AM171"/>
      <c r="AO171"/>
      <c r="XEX171" s="2" t="s">
        <v>93</v>
      </c>
    </row>
    <row r="172" spans="13:41 16378:16378">
      <c r="M172"/>
      <c r="R172"/>
      <c r="V172"/>
      <c r="Y172"/>
      <c r="AD172"/>
      <c r="AM172"/>
      <c r="AO172"/>
      <c r="XEX172" s="8" t="s">
        <v>187</v>
      </c>
    </row>
    <row r="173" spans="13:41 16378:16378">
      <c r="M173"/>
      <c r="R173"/>
      <c r="V173"/>
      <c r="Y173"/>
      <c r="AD173"/>
      <c r="AM173"/>
      <c r="AO173"/>
      <c r="XEX173" s="8" t="s">
        <v>188</v>
      </c>
    </row>
    <row r="174" spans="13:41 16378:16378">
      <c r="M174"/>
      <c r="R174"/>
      <c r="V174"/>
      <c r="Y174"/>
      <c r="AD174"/>
      <c r="AM174"/>
      <c r="AO174"/>
      <c r="XEX174" s="8" t="s">
        <v>94</v>
      </c>
    </row>
    <row r="175" spans="13:41 16378:16378">
      <c r="M175"/>
      <c r="R175"/>
      <c r="V175"/>
      <c r="Y175"/>
      <c r="AD175"/>
      <c r="AM175"/>
      <c r="AO175"/>
      <c r="XEX175" s="8" t="s">
        <v>189</v>
      </c>
    </row>
    <row r="176" spans="13:41 16378:16378">
      <c r="M176"/>
      <c r="R176"/>
      <c r="V176"/>
      <c r="Y176"/>
      <c r="AD176"/>
      <c r="AM176"/>
      <c r="AO176"/>
    </row>
    <row r="177" spans="13:41">
      <c r="M177"/>
      <c r="R177"/>
      <c r="V177"/>
      <c r="Y177"/>
      <c r="AD177"/>
      <c r="AM177"/>
      <c r="AO177"/>
    </row>
    <row r="178" spans="13:41">
      <c r="M178"/>
      <c r="R178"/>
      <c r="V178"/>
      <c r="Y178"/>
      <c r="AD178"/>
      <c r="AM178"/>
      <c r="AO178"/>
    </row>
    <row r="179" spans="13:41">
      <c r="M179"/>
      <c r="R179"/>
      <c r="V179"/>
      <c r="Y179"/>
      <c r="AD179"/>
      <c r="AM179"/>
      <c r="AO179"/>
    </row>
    <row r="180" spans="13:41">
      <c r="M180"/>
      <c r="R180"/>
      <c r="V180"/>
      <c r="Y180"/>
      <c r="AD180"/>
      <c r="AM180"/>
      <c r="AO180"/>
    </row>
    <row r="181" spans="13:41">
      <c r="M181"/>
      <c r="R181"/>
      <c r="V181"/>
      <c r="Y181"/>
      <c r="AD181"/>
      <c r="AM181"/>
      <c r="AO181"/>
    </row>
    <row r="182" spans="13:41">
      <c r="M182"/>
      <c r="R182"/>
      <c r="V182"/>
      <c r="Y182"/>
      <c r="AD182"/>
      <c r="AM182"/>
      <c r="AO182"/>
    </row>
    <row r="183" spans="13:41">
      <c r="M183"/>
      <c r="R183"/>
      <c r="V183"/>
      <c r="Y183"/>
      <c r="AD183"/>
      <c r="AM183"/>
      <c r="AO183"/>
    </row>
    <row r="184" spans="13:41">
      <c r="M184"/>
      <c r="R184"/>
      <c r="V184"/>
      <c r="Y184"/>
      <c r="AD184"/>
      <c r="AM184"/>
      <c r="AO184"/>
    </row>
    <row r="185" spans="13:41">
      <c r="M185"/>
      <c r="R185"/>
      <c r="V185"/>
      <c r="Y185"/>
      <c r="AD185"/>
      <c r="AM185"/>
      <c r="AO185"/>
    </row>
    <row r="186" spans="13:41">
      <c r="M186"/>
      <c r="R186"/>
      <c r="V186"/>
      <c r="Y186"/>
      <c r="AD186"/>
      <c r="AM186"/>
      <c r="AO186"/>
    </row>
    <row r="187" spans="13:41">
      <c r="M187"/>
      <c r="R187"/>
      <c r="V187"/>
      <c r="Y187"/>
      <c r="AD187"/>
      <c r="AM187"/>
      <c r="AO187"/>
    </row>
    <row r="188" spans="13:41">
      <c r="M188"/>
      <c r="R188"/>
      <c r="V188"/>
      <c r="Y188"/>
      <c r="AD188"/>
      <c r="AM188"/>
      <c r="AO188"/>
    </row>
    <row r="189" spans="13:41">
      <c r="M189"/>
      <c r="R189"/>
      <c r="V189"/>
      <c r="Y189"/>
      <c r="AD189"/>
      <c r="AM189"/>
      <c r="AO189"/>
    </row>
    <row r="190" spans="13:41">
      <c r="M190"/>
      <c r="R190"/>
      <c r="V190"/>
      <c r="Y190"/>
      <c r="AD190"/>
      <c r="AM190"/>
      <c r="AO190"/>
    </row>
    <row r="191" spans="13:41">
      <c r="M191"/>
      <c r="R191"/>
      <c r="V191"/>
      <c r="Y191"/>
      <c r="AD191"/>
      <c r="AM191"/>
      <c r="AO191"/>
    </row>
    <row r="192" spans="13:41">
      <c r="M192"/>
      <c r="R192"/>
      <c r="V192"/>
      <c r="Y192"/>
      <c r="AD192"/>
      <c r="AM192"/>
      <c r="AO192"/>
    </row>
    <row r="193" spans="13:41">
      <c r="M193"/>
      <c r="R193"/>
      <c r="V193"/>
      <c r="Y193"/>
      <c r="AD193"/>
      <c r="AM193"/>
      <c r="AO193"/>
    </row>
    <row r="194" spans="13:41">
      <c r="M194"/>
      <c r="R194"/>
      <c r="V194"/>
      <c r="Y194"/>
      <c r="AD194"/>
      <c r="AM194"/>
      <c r="AO194"/>
    </row>
    <row r="195" spans="13:41">
      <c r="M195"/>
      <c r="R195"/>
      <c r="V195"/>
      <c r="Y195"/>
      <c r="AD195"/>
      <c r="AM195"/>
      <c r="AO195"/>
    </row>
    <row r="196" spans="13:41">
      <c r="M196"/>
      <c r="R196"/>
      <c r="V196"/>
      <c r="Y196"/>
      <c r="AD196"/>
      <c r="AM196"/>
      <c r="AO196"/>
    </row>
    <row r="197" spans="13:41">
      <c r="M197"/>
      <c r="R197"/>
      <c r="V197"/>
      <c r="Y197"/>
      <c r="AD197"/>
      <c r="AM197"/>
      <c r="AO197"/>
    </row>
    <row r="198" spans="13:41">
      <c r="M198"/>
      <c r="R198"/>
      <c r="V198"/>
      <c r="Y198"/>
      <c r="AD198"/>
      <c r="AM198"/>
      <c r="AO198"/>
    </row>
    <row r="199" spans="13:41">
      <c r="M199"/>
      <c r="R199"/>
      <c r="V199"/>
      <c r="Y199"/>
      <c r="AD199"/>
      <c r="AM199"/>
      <c r="AO199"/>
    </row>
    <row r="200" spans="13:41">
      <c r="M200"/>
      <c r="R200"/>
      <c r="V200"/>
      <c r="Y200"/>
      <c r="AD200"/>
      <c r="AM200"/>
      <c r="AO200"/>
    </row>
    <row r="201" spans="13:41">
      <c r="M201"/>
      <c r="R201"/>
      <c r="V201"/>
      <c r="Y201"/>
      <c r="AD201"/>
      <c r="AM201"/>
      <c r="AO201"/>
    </row>
    <row r="202" spans="13:41">
      <c r="M202"/>
      <c r="R202"/>
      <c r="V202"/>
      <c r="Y202"/>
      <c r="AD202"/>
      <c r="AM202"/>
      <c r="AO202"/>
    </row>
    <row r="203" spans="13:41">
      <c r="M203"/>
      <c r="R203"/>
      <c r="V203"/>
      <c r="Y203"/>
      <c r="AD203"/>
      <c r="AM203"/>
      <c r="AO203"/>
    </row>
    <row r="204" spans="13:41">
      <c r="M204"/>
      <c r="R204"/>
      <c r="V204"/>
      <c r="Y204"/>
      <c r="AD204"/>
      <c r="AM204"/>
      <c r="AO204"/>
    </row>
    <row r="205" spans="13:41">
      <c r="M205"/>
      <c r="R205"/>
      <c r="V205"/>
      <c r="Y205"/>
      <c r="AD205"/>
      <c r="AM205"/>
      <c r="AO205"/>
    </row>
    <row r="206" spans="13:41">
      <c r="M206"/>
      <c r="R206"/>
      <c r="V206"/>
      <c r="Y206"/>
      <c r="AD206"/>
      <c r="AM206"/>
      <c r="AO206"/>
    </row>
    <row r="207" spans="13:41">
      <c r="M207"/>
      <c r="R207"/>
      <c r="V207"/>
      <c r="Y207"/>
      <c r="AD207"/>
      <c r="AM207"/>
      <c r="AO207"/>
    </row>
    <row r="208" spans="13:41">
      <c r="M208"/>
      <c r="R208"/>
      <c r="V208"/>
      <c r="Y208"/>
      <c r="AD208"/>
      <c r="AM208"/>
      <c r="AO208"/>
    </row>
    <row r="209" spans="13:41">
      <c r="M209"/>
      <c r="R209"/>
      <c r="V209"/>
      <c r="Y209"/>
      <c r="AD209"/>
      <c r="AM209"/>
      <c r="AO209"/>
    </row>
    <row r="210" spans="13:41">
      <c r="M210"/>
      <c r="R210"/>
      <c r="V210"/>
      <c r="Y210"/>
      <c r="AD210"/>
      <c r="AM210"/>
      <c r="AO210"/>
    </row>
    <row r="211" spans="13:41">
      <c r="M211"/>
      <c r="R211"/>
      <c r="V211"/>
      <c r="Y211"/>
      <c r="AD211"/>
      <c r="AM211"/>
      <c r="AO211"/>
    </row>
    <row r="212" spans="13:41">
      <c r="M212"/>
      <c r="R212"/>
      <c r="V212"/>
      <c r="Y212"/>
      <c r="AD212"/>
      <c r="AM212"/>
      <c r="AO212"/>
    </row>
    <row r="213" spans="13:41">
      <c r="M213"/>
      <c r="R213"/>
      <c r="V213"/>
      <c r="Y213"/>
      <c r="AD213"/>
      <c r="AM213"/>
      <c r="AO213"/>
    </row>
    <row r="214" spans="13:41">
      <c r="M214"/>
      <c r="R214"/>
      <c r="V214"/>
      <c r="Y214"/>
      <c r="AD214"/>
      <c r="AM214"/>
      <c r="AO214"/>
    </row>
    <row r="215" spans="13:41">
      <c r="M215"/>
      <c r="R215"/>
      <c r="V215"/>
      <c r="Y215"/>
      <c r="AD215"/>
      <c r="AM215"/>
      <c r="AO215"/>
    </row>
    <row r="216" spans="13:41">
      <c r="M216"/>
      <c r="R216"/>
      <c r="V216"/>
      <c r="Y216"/>
      <c r="AD216"/>
      <c r="AM216"/>
      <c r="AO216"/>
    </row>
    <row r="217" spans="13:41">
      <c r="M217"/>
      <c r="R217"/>
      <c r="V217"/>
      <c r="Y217"/>
      <c r="AD217"/>
      <c r="AM217"/>
      <c r="AO217"/>
    </row>
    <row r="218" spans="13:41">
      <c r="M218"/>
      <c r="R218"/>
      <c r="V218"/>
      <c r="Y218"/>
      <c r="AD218"/>
      <c r="AM218"/>
      <c r="AO218"/>
    </row>
    <row r="219" spans="13:41">
      <c r="M219"/>
      <c r="R219"/>
      <c r="V219"/>
      <c r="Y219"/>
      <c r="AD219"/>
      <c r="AM219"/>
      <c r="AO219"/>
    </row>
    <row r="220" spans="13:41">
      <c r="M220"/>
      <c r="R220"/>
      <c r="V220"/>
      <c r="Y220"/>
      <c r="AD220"/>
      <c r="AM220"/>
      <c r="AO220"/>
    </row>
    <row r="221" spans="13:41">
      <c r="M221"/>
      <c r="R221"/>
      <c r="V221"/>
      <c r="Y221"/>
      <c r="AD221"/>
      <c r="AM221"/>
      <c r="AO221"/>
    </row>
    <row r="222" spans="13:41">
      <c r="M222"/>
      <c r="R222"/>
      <c r="V222"/>
      <c r="Y222"/>
      <c r="AD222"/>
      <c r="AM222"/>
      <c r="AO222"/>
    </row>
    <row r="223" spans="13:41">
      <c r="M223"/>
      <c r="R223"/>
      <c r="V223"/>
      <c r="Y223"/>
      <c r="AD223"/>
      <c r="AM223"/>
      <c r="AO223"/>
    </row>
    <row r="224" spans="13:41">
      <c r="M224"/>
      <c r="R224"/>
      <c r="V224"/>
      <c r="Y224"/>
      <c r="AD224"/>
      <c r="AM224"/>
      <c r="AO224"/>
    </row>
    <row r="225" spans="13:41">
      <c r="M225"/>
      <c r="R225"/>
      <c r="V225"/>
      <c r="Y225"/>
      <c r="AD225"/>
      <c r="AM225"/>
      <c r="AO225"/>
    </row>
    <row r="226" spans="13:41">
      <c r="M226"/>
      <c r="R226"/>
      <c r="V226"/>
      <c r="Y226"/>
      <c r="AD226"/>
      <c r="AM226"/>
      <c r="AO226"/>
    </row>
    <row r="227" spans="13:41">
      <c r="M227"/>
      <c r="R227"/>
      <c r="V227"/>
      <c r="Y227"/>
      <c r="AD227"/>
      <c r="AM227"/>
      <c r="AO227"/>
    </row>
    <row r="228" spans="13:41">
      <c r="M228"/>
      <c r="R228"/>
      <c r="V228"/>
      <c r="Y228"/>
      <c r="AD228"/>
      <c r="AM228"/>
      <c r="AO228"/>
    </row>
    <row r="229" spans="13:41">
      <c r="M229"/>
      <c r="R229"/>
      <c r="V229"/>
      <c r="Y229"/>
      <c r="AD229"/>
      <c r="AM229"/>
      <c r="AO229"/>
    </row>
    <row r="230" spans="13:41">
      <c r="M230"/>
      <c r="R230"/>
      <c r="V230"/>
      <c r="Y230"/>
      <c r="AD230"/>
      <c r="AM230"/>
      <c r="AO230"/>
    </row>
    <row r="231" spans="13:41">
      <c r="M231"/>
      <c r="R231"/>
      <c r="V231"/>
      <c r="Y231"/>
      <c r="AD231"/>
      <c r="AM231"/>
      <c r="AO231"/>
    </row>
    <row r="232" spans="13:41">
      <c r="M232"/>
      <c r="R232"/>
      <c r="V232"/>
      <c r="Y232"/>
      <c r="AD232"/>
      <c r="AM232"/>
      <c r="AO232"/>
    </row>
    <row r="233" spans="13:41">
      <c r="M233"/>
      <c r="R233"/>
      <c r="V233"/>
      <c r="Y233"/>
      <c r="AD233"/>
      <c r="AM233"/>
      <c r="AO233"/>
    </row>
    <row r="234" spans="13:41">
      <c r="M234"/>
      <c r="R234"/>
      <c r="V234"/>
      <c r="Y234"/>
      <c r="AD234"/>
      <c r="AM234"/>
      <c r="AO234"/>
    </row>
    <row r="235" spans="13:41">
      <c r="M235"/>
      <c r="R235"/>
      <c r="V235"/>
      <c r="Y235"/>
      <c r="AD235"/>
      <c r="AM235"/>
      <c r="AO235"/>
    </row>
    <row r="236" spans="13:41">
      <c r="M236"/>
      <c r="R236"/>
      <c r="V236"/>
      <c r="Y236"/>
      <c r="AD236"/>
      <c r="AM236"/>
      <c r="AO236"/>
    </row>
    <row r="237" spans="13:41">
      <c r="M237"/>
      <c r="R237"/>
      <c r="V237"/>
      <c r="Y237"/>
      <c r="AD237"/>
      <c r="AM237"/>
      <c r="AO237"/>
    </row>
    <row r="238" spans="13:41">
      <c r="M238"/>
      <c r="R238"/>
      <c r="V238"/>
      <c r="Y238"/>
      <c r="AD238"/>
      <c r="AM238"/>
      <c r="AO238"/>
    </row>
    <row r="239" spans="13:41">
      <c r="M239"/>
      <c r="R239"/>
      <c r="V239"/>
      <c r="Y239"/>
      <c r="AD239"/>
      <c r="AM239"/>
      <c r="AO239"/>
    </row>
    <row r="240" spans="13:41">
      <c r="M240"/>
      <c r="R240"/>
      <c r="V240"/>
      <c r="Y240"/>
      <c r="AD240"/>
      <c r="AM240"/>
      <c r="AO240"/>
    </row>
    <row r="241" spans="13:41">
      <c r="M241"/>
      <c r="R241"/>
      <c r="V241"/>
      <c r="Y241"/>
      <c r="AD241"/>
      <c r="AM241"/>
      <c r="AO241"/>
    </row>
    <row r="242" spans="13:41">
      <c r="M242"/>
      <c r="R242"/>
      <c r="V242"/>
      <c r="Y242"/>
      <c r="AD242"/>
      <c r="AM242"/>
      <c r="AO242"/>
    </row>
    <row r="243" spans="13:41">
      <c r="M243"/>
      <c r="R243"/>
      <c r="V243"/>
      <c r="Y243"/>
      <c r="AD243"/>
      <c r="AM243"/>
      <c r="AO243"/>
    </row>
    <row r="244" spans="13:41">
      <c r="M244"/>
      <c r="R244"/>
      <c r="V244"/>
      <c r="Y244"/>
      <c r="AD244"/>
      <c r="AM244"/>
      <c r="AO244"/>
    </row>
    <row r="245" spans="13:41">
      <c r="M245"/>
      <c r="R245"/>
      <c r="V245"/>
      <c r="Y245"/>
      <c r="AD245"/>
      <c r="AM245"/>
      <c r="AO245"/>
    </row>
    <row r="246" spans="13:41">
      <c r="M246"/>
      <c r="R246"/>
      <c r="V246"/>
      <c r="Y246"/>
      <c r="AD246"/>
      <c r="AM246"/>
      <c r="AO246"/>
    </row>
    <row r="247" spans="13:41">
      <c r="M247"/>
      <c r="R247"/>
      <c r="V247"/>
      <c r="Y247"/>
      <c r="AD247"/>
      <c r="AM247"/>
      <c r="AO247"/>
    </row>
    <row r="248" spans="13:41">
      <c r="M248"/>
      <c r="R248"/>
      <c r="V248"/>
      <c r="Y248"/>
      <c r="AD248"/>
      <c r="AM248"/>
      <c r="AO248"/>
    </row>
    <row r="249" spans="13:41">
      <c r="M249"/>
      <c r="R249"/>
      <c r="V249"/>
      <c r="Y249"/>
      <c r="AD249"/>
      <c r="AM249"/>
      <c r="AO249"/>
    </row>
    <row r="250" spans="13:41">
      <c r="M250"/>
      <c r="R250"/>
      <c r="V250"/>
      <c r="Y250"/>
      <c r="AD250"/>
      <c r="AM250"/>
      <c r="AO250"/>
    </row>
    <row r="251" spans="13:41">
      <c r="M251"/>
      <c r="R251"/>
      <c r="V251"/>
      <c r="Y251"/>
      <c r="AD251"/>
      <c r="AM251"/>
      <c r="AO251"/>
    </row>
    <row r="252" spans="13:41">
      <c r="M252"/>
      <c r="R252"/>
      <c r="V252"/>
      <c r="Y252"/>
      <c r="AD252"/>
      <c r="AM252"/>
      <c r="AO252"/>
    </row>
    <row r="253" spans="13:41">
      <c r="M253"/>
      <c r="R253"/>
      <c r="V253"/>
      <c r="Y253"/>
      <c r="AD253"/>
      <c r="AM253"/>
      <c r="AO253"/>
    </row>
    <row r="254" spans="13:41">
      <c r="M254"/>
      <c r="R254"/>
      <c r="V254"/>
      <c r="Y254"/>
      <c r="AD254"/>
      <c r="AM254"/>
      <c r="AO254"/>
    </row>
    <row r="255" spans="13:41">
      <c r="M255"/>
      <c r="R255"/>
      <c r="V255"/>
      <c r="Y255"/>
      <c r="AD255"/>
      <c r="AM255"/>
      <c r="AO255"/>
    </row>
    <row r="256" spans="13:41">
      <c r="M256"/>
      <c r="R256"/>
      <c r="V256"/>
      <c r="Y256"/>
      <c r="AD256"/>
      <c r="AM256"/>
      <c r="AO256"/>
    </row>
    <row r="257" spans="13:41">
      <c r="M257"/>
      <c r="R257"/>
      <c r="V257"/>
      <c r="Y257"/>
      <c r="AD257"/>
      <c r="AM257"/>
      <c r="AO257"/>
    </row>
    <row r="258" spans="13:41">
      <c r="M258"/>
      <c r="R258"/>
      <c r="V258"/>
      <c r="Y258"/>
      <c r="AD258"/>
      <c r="AM258"/>
      <c r="AO258"/>
    </row>
    <row r="259" spans="13:41">
      <c r="M259"/>
      <c r="R259"/>
      <c r="V259"/>
      <c r="Y259"/>
      <c r="AD259"/>
      <c r="AM259"/>
      <c r="AO259"/>
    </row>
    <row r="260" spans="13:41">
      <c r="M260"/>
      <c r="R260"/>
      <c r="V260"/>
      <c r="Y260"/>
      <c r="AD260"/>
      <c r="AM260"/>
      <c r="AO260"/>
    </row>
    <row r="261" spans="13:41">
      <c r="M261"/>
      <c r="R261"/>
      <c r="V261"/>
      <c r="Y261"/>
      <c r="AD261"/>
      <c r="AM261"/>
      <c r="AO261"/>
    </row>
    <row r="262" spans="13:41">
      <c r="M262"/>
      <c r="R262"/>
      <c r="V262"/>
      <c r="Y262"/>
      <c r="AD262"/>
      <c r="AM262"/>
      <c r="AO262"/>
    </row>
    <row r="263" spans="13:41">
      <c r="M263"/>
      <c r="R263"/>
      <c r="V263"/>
      <c r="Y263"/>
      <c r="AD263"/>
      <c r="AM263"/>
      <c r="AO263"/>
    </row>
    <row r="264" spans="13:41">
      <c r="M264"/>
      <c r="R264"/>
      <c r="V264"/>
      <c r="Y264"/>
      <c r="AD264"/>
      <c r="AM264"/>
      <c r="AO264"/>
    </row>
    <row r="265" spans="13:41">
      <c r="M265"/>
      <c r="R265"/>
      <c r="V265"/>
      <c r="Y265"/>
      <c r="AD265"/>
      <c r="AM265"/>
      <c r="AO265"/>
    </row>
    <row r="266" spans="13:41">
      <c r="M266"/>
      <c r="R266"/>
      <c r="V266"/>
      <c r="Y266"/>
      <c r="AD266"/>
      <c r="AM266"/>
      <c r="AO266"/>
    </row>
    <row r="267" spans="13:41">
      <c r="M267"/>
      <c r="R267"/>
      <c r="V267"/>
      <c r="Y267"/>
      <c r="AD267"/>
      <c r="AM267"/>
      <c r="AO267"/>
    </row>
    <row r="268" spans="13:41">
      <c r="M268"/>
      <c r="R268"/>
      <c r="V268"/>
      <c r="Y268"/>
      <c r="AD268"/>
      <c r="AM268"/>
      <c r="AO268"/>
    </row>
    <row r="269" spans="13:41">
      <c r="M269"/>
      <c r="R269"/>
      <c r="V269"/>
      <c r="Y269"/>
      <c r="AD269"/>
      <c r="AM269"/>
      <c r="AO269"/>
    </row>
    <row r="270" spans="13:41">
      <c r="M270"/>
      <c r="R270"/>
      <c r="V270"/>
      <c r="Y270"/>
      <c r="AD270"/>
      <c r="AM270"/>
      <c r="AO270"/>
    </row>
    <row r="271" spans="13:41">
      <c r="M271"/>
      <c r="R271"/>
      <c r="V271"/>
      <c r="Y271"/>
      <c r="AD271"/>
      <c r="AM271"/>
      <c r="AO271"/>
    </row>
    <row r="272" spans="13:41">
      <c r="M272"/>
      <c r="R272"/>
      <c r="V272"/>
      <c r="Y272"/>
      <c r="AD272"/>
      <c r="AM272"/>
      <c r="AO272"/>
    </row>
    <row r="273" spans="13:41">
      <c r="M273"/>
      <c r="R273"/>
      <c r="V273"/>
      <c r="Y273"/>
      <c r="AD273"/>
      <c r="AM273"/>
      <c r="AO273"/>
    </row>
    <row r="274" spans="13:41">
      <c r="M274"/>
      <c r="R274"/>
      <c r="V274"/>
      <c r="Y274"/>
      <c r="AD274"/>
      <c r="AM274"/>
      <c r="AO274"/>
    </row>
    <row r="275" spans="13:41">
      <c r="M275"/>
      <c r="R275"/>
      <c r="V275"/>
      <c r="Y275"/>
      <c r="AD275"/>
      <c r="AM275"/>
      <c r="AO275"/>
    </row>
    <row r="276" spans="13:41">
      <c r="M276"/>
      <c r="R276"/>
      <c r="V276"/>
      <c r="Y276"/>
      <c r="AD276"/>
      <c r="AM276"/>
      <c r="AO276"/>
    </row>
    <row r="277" spans="13:41">
      <c r="M277"/>
      <c r="R277"/>
      <c r="V277"/>
      <c r="Y277"/>
      <c r="AD277"/>
      <c r="AM277"/>
      <c r="AO277"/>
    </row>
    <row r="278" spans="13:41">
      <c r="M278"/>
      <c r="R278"/>
      <c r="V278"/>
      <c r="Y278"/>
      <c r="AD278"/>
      <c r="AM278"/>
      <c r="AO278"/>
    </row>
    <row r="279" spans="13:41">
      <c r="M279"/>
      <c r="R279"/>
      <c r="V279"/>
      <c r="Y279"/>
      <c r="AD279"/>
      <c r="AM279"/>
      <c r="AO279"/>
    </row>
    <row r="280" spans="13:41">
      <c r="M280"/>
      <c r="R280"/>
      <c r="V280"/>
      <c r="Y280"/>
      <c r="AD280"/>
      <c r="AM280"/>
      <c r="AO280"/>
    </row>
    <row r="281" spans="13:41">
      <c r="M281"/>
      <c r="R281"/>
      <c r="V281"/>
      <c r="Y281"/>
      <c r="AD281"/>
      <c r="AM281"/>
      <c r="AO281"/>
    </row>
    <row r="282" spans="13:41">
      <c r="M282"/>
      <c r="R282"/>
      <c r="V282"/>
      <c r="Y282"/>
      <c r="AD282"/>
      <c r="AM282"/>
      <c r="AO282"/>
    </row>
    <row r="283" spans="13:41">
      <c r="M283"/>
      <c r="R283"/>
      <c r="V283"/>
      <c r="Y283"/>
      <c r="AD283"/>
      <c r="AM283"/>
      <c r="AO283"/>
    </row>
    <row r="284" spans="13:41">
      <c r="M284"/>
      <c r="R284"/>
      <c r="V284"/>
      <c r="Y284"/>
      <c r="AD284"/>
      <c r="AM284"/>
      <c r="AO284"/>
    </row>
    <row r="285" spans="13:41">
      <c r="M285"/>
      <c r="R285"/>
      <c r="V285"/>
      <c r="Y285"/>
      <c r="AD285"/>
      <c r="AM285"/>
      <c r="AO285"/>
    </row>
    <row r="286" spans="13:41">
      <c r="M286"/>
      <c r="R286"/>
      <c r="V286"/>
      <c r="Y286"/>
      <c r="AD286"/>
      <c r="AM286"/>
      <c r="AO286"/>
    </row>
    <row r="287" spans="13:41">
      <c r="M287"/>
      <c r="R287"/>
      <c r="V287"/>
      <c r="Y287"/>
      <c r="AD287"/>
      <c r="AM287"/>
      <c r="AO287"/>
    </row>
    <row r="288" spans="13:41">
      <c r="M288"/>
      <c r="R288"/>
      <c r="V288"/>
      <c r="Y288"/>
      <c r="AD288"/>
      <c r="AM288"/>
      <c r="AO288"/>
    </row>
    <row r="289" spans="13:41">
      <c r="M289"/>
      <c r="R289"/>
      <c r="V289"/>
      <c r="Y289"/>
      <c r="AD289"/>
      <c r="AM289"/>
      <c r="AO289"/>
    </row>
    <row r="290" spans="13:41">
      <c r="M290"/>
      <c r="R290"/>
      <c r="V290"/>
      <c r="Y290"/>
      <c r="AD290"/>
      <c r="AM290"/>
      <c r="AO290"/>
    </row>
    <row r="291" spans="13:41">
      <c r="M291"/>
      <c r="R291"/>
      <c r="V291"/>
      <c r="Y291"/>
      <c r="AD291"/>
      <c r="AM291"/>
      <c r="AO291"/>
    </row>
    <row r="292" spans="13:41">
      <c r="M292"/>
      <c r="R292"/>
      <c r="V292"/>
      <c r="Y292"/>
      <c r="AD292"/>
      <c r="AM292"/>
      <c r="AO292"/>
    </row>
    <row r="293" spans="13:41">
      <c r="M293"/>
      <c r="R293"/>
      <c r="V293"/>
      <c r="Y293"/>
      <c r="AD293"/>
      <c r="AM293"/>
      <c r="AO293"/>
    </row>
    <row r="294" spans="13:41">
      <c r="M294"/>
      <c r="R294"/>
      <c r="V294"/>
      <c r="Y294"/>
      <c r="AD294"/>
      <c r="AM294"/>
      <c r="AO294"/>
    </row>
    <row r="295" spans="13:41">
      <c r="M295"/>
      <c r="R295"/>
      <c r="V295"/>
      <c r="Y295"/>
      <c r="AD295"/>
      <c r="AM295"/>
      <c r="AO295"/>
    </row>
    <row r="296" spans="13:41">
      <c r="M296"/>
      <c r="R296"/>
      <c r="V296"/>
      <c r="Y296"/>
      <c r="AD296"/>
      <c r="AM296"/>
      <c r="AO296"/>
    </row>
    <row r="297" spans="13:41">
      <c r="M297"/>
      <c r="R297"/>
      <c r="V297"/>
      <c r="Y297"/>
      <c r="AD297"/>
      <c r="AM297"/>
      <c r="AO297"/>
    </row>
    <row r="298" spans="13:41">
      <c r="M298"/>
      <c r="R298"/>
      <c r="V298"/>
      <c r="Y298"/>
      <c r="AD298"/>
      <c r="AM298"/>
      <c r="AO298"/>
    </row>
    <row r="299" spans="13:41">
      <c r="M299"/>
      <c r="R299"/>
      <c r="V299"/>
      <c r="Y299"/>
      <c r="AD299"/>
      <c r="AM299"/>
      <c r="AO299"/>
    </row>
    <row r="300" spans="13:41">
      <c r="M300"/>
      <c r="R300"/>
      <c r="V300"/>
      <c r="Y300"/>
      <c r="AD300"/>
      <c r="AM300"/>
      <c r="AO300"/>
    </row>
    <row r="301" spans="13:41">
      <c r="M301"/>
      <c r="R301"/>
      <c r="V301"/>
      <c r="Y301"/>
      <c r="AD301"/>
      <c r="AM301"/>
      <c r="AO301"/>
    </row>
    <row r="302" spans="13:41">
      <c r="M302"/>
      <c r="R302"/>
      <c r="V302"/>
      <c r="Y302"/>
      <c r="AD302"/>
      <c r="AM302"/>
      <c r="AO302"/>
    </row>
    <row r="303" spans="13:41">
      <c r="M303"/>
      <c r="R303"/>
      <c r="V303"/>
      <c r="Y303"/>
      <c r="AD303"/>
      <c r="AM303"/>
      <c r="AO303"/>
    </row>
    <row r="304" spans="13:41">
      <c r="M304"/>
      <c r="R304"/>
      <c r="V304"/>
      <c r="Y304"/>
      <c r="AD304"/>
      <c r="AM304"/>
      <c r="AO304"/>
    </row>
    <row r="305" spans="13:41">
      <c r="M305"/>
      <c r="R305"/>
      <c r="V305"/>
      <c r="Y305"/>
      <c r="AD305"/>
      <c r="AM305"/>
      <c r="AO305"/>
    </row>
    <row r="306" spans="13:41">
      <c r="M306"/>
      <c r="R306"/>
      <c r="V306"/>
      <c r="Y306"/>
      <c r="AD306"/>
      <c r="AM306"/>
      <c r="AO306"/>
    </row>
    <row r="307" spans="13:41">
      <c r="M307"/>
      <c r="R307"/>
      <c r="V307"/>
      <c r="Y307"/>
      <c r="AD307"/>
      <c r="AM307"/>
      <c r="AO307"/>
    </row>
    <row r="308" spans="13:41">
      <c r="M308"/>
      <c r="R308"/>
      <c r="V308"/>
      <c r="Y308"/>
      <c r="AD308"/>
      <c r="AM308"/>
      <c r="AO308"/>
    </row>
    <row r="309" spans="13:41">
      <c r="M309"/>
      <c r="R309"/>
      <c r="V309"/>
      <c r="Y309"/>
      <c r="AD309"/>
      <c r="AM309"/>
      <c r="AO309"/>
    </row>
    <row r="310" spans="13:41">
      <c r="M310"/>
      <c r="R310"/>
      <c r="V310"/>
      <c r="Y310"/>
      <c r="AD310"/>
      <c r="AM310"/>
      <c r="AO310"/>
    </row>
    <row r="311" spans="13:41">
      <c r="M311"/>
      <c r="R311"/>
      <c r="V311"/>
      <c r="Y311"/>
      <c r="AD311"/>
      <c r="AM311"/>
      <c r="AO311"/>
    </row>
    <row r="312" spans="13:41">
      <c r="M312"/>
      <c r="R312"/>
      <c r="V312"/>
      <c r="Y312"/>
      <c r="AD312"/>
      <c r="AM312"/>
      <c r="AO312"/>
    </row>
    <row r="313" spans="13:41">
      <c r="M313"/>
      <c r="R313"/>
      <c r="V313"/>
      <c r="Y313"/>
      <c r="AD313"/>
      <c r="AM313"/>
      <c r="AO313"/>
    </row>
    <row r="314" spans="13:41">
      <c r="M314"/>
      <c r="R314"/>
      <c r="V314"/>
      <c r="Y314"/>
      <c r="AD314"/>
      <c r="AM314"/>
      <c r="AO314"/>
    </row>
    <row r="315" spans="13:41">
      <c r="M315"/>
      <c r="R315"/>
      <c r="V315"/>
      <c r="Y315"/>
      <c r="AD315"/>
      <c r="AM315"/>
      <c r="AO315"/>
    </row>
    <row r="316" spans="13:41">
      <c r="M316"/>
      <c r="R316"/>
      <c r="V316"/>
      <c r="Y316"/>
      <c r="AD316"/>
      <c r="AM316"/>
      <c r="AO316"/>
    </row>
    <row r="317" spans="13:41">
      <c r="M317"/>
      <c r="R317"/>
      <c r="V317"/>
      <c r="Y317"/>
      <c r="AD317"/>
      <c r="AM317"/>
      <c r="AO317"/>
    </row>
    <row r="318" spans="13:41">
      <c r="M318"/>
      <c r="R318"/>
      <c r="V318"/>
      <c r="Y318"/>
      <c r="AD318"/>
      <c r="AM318"/>
      <c r="AO318"/>
    </row>
    <row r="319" spans="13:41">
      <c r="M319"/>
      <c r="R319"/>
      <c r="V319"/>
      <c r="Y319"/>
      <c r="AD319"/>
      <c r="AM319"/>
      <c r="AO319"/>
    </row>
    <row r="320" spans="13:41">
      <c r="M320"/>
      <c r="R320"/>
      <c r="V320"/>
      <c r="Y320"/>
      <c r="AD320"/>
      <c r="AM320"/>
      <c r="AO320"/>
    </row>
    <row r="321" spans="13:41">
      <c r="M321"/>
      <c r="R321"/>
      <c r="V321"/>
      <c r="Y321"/>
      <c r="AD321"/>
      <c r="AM321"/>
      <c r="AO321"/>
    </row>
    <row r="322" spans="13:41">
      <c r="M322"/>
      <c r="R322"/>
      <c r="V322"/>
      <c r="Y322"/>
      <c r="AD322"/>
      <c r="AM322"/>
      <c r="AO322"/>
    </row>
    <row r="323" spans="13:41">
      <c r="M323"/>
      <c r="R323"/>
      <c r="V323"/>
      <c r="Y323"/>
      <c r="AD323"/>
      <c r="AM323"/>
      <c r="AO323"/>
    </row>
    <row r="324" spans="13:41">
      <c r="M324"/>
      <c r="R324"/>
      <c r="V324"/>
      <c r="Y324"/>
      <c r="AD324"/>
      <c r="AM324"/>
      <c r="AO324"/>
    </row>
    <row r="325" spans="13:41">
      <c r="M325"/>
      <c r="R325"/>
      <c r="V325"/>
      <c r="Y325"/>
      <c r="AD325"/>
      <c r="AM325"/>
      <c r="AO325"/>
    </row>
    <row r="326" spans="13:41">
      <c r="M326"/>
      <c r="R326"/>
      <c r="V326"/>
      <c r="Y326"/>
      <c r="AD326"/>
      <c r="AM326"/>
      <c r="AO326"/>
    </row>
    <row r="327" spans="13:41">
      <c r="M327"/>
      <c r="R327"/>
      <c r="V327"/>
      <c r="Y327"/>
      <c r="AD327"/>
      <c r="AM327"/>
      <c r="AO327"/>
    </row>
    <row r="328" spans="13:41">
      <c r="M328"/>
      <c r="R328"/>
      <c r="V328"/>
      <c r="Y328"/>
      <c r="AD328"/>
      <c r="AM328"/>
      <c r="AO328"/>
    </row>
    <row r="329" spans="13:41">
      <c r="M329"/>
      <c r="R329"/>
      <c r="V329"/>
      <c r="Y329"/>
      <c r="AD329"/>
      <c r="AM329"/>
      <c r="AO329"/>
    </row>
    <row r="330" spans="13:41">
      <c r="M330"/>
      <c r="R330"/>
      <c r="V330"/>
      <c r="Y330"/>
      <c r="AD330"/>
      <c r="AM330"/>
      <c r="AO330"/>
    </row>
    <row r="331" spans="13:41">
      <c r="M331"/>
      <c r="R331"/>
      <c r="V331"/>
      <c r="Y331"/>
      <c r="AD331"/>
      <c r="AM331"/>
      <c r="AO331"/>
    </row>
    <row r="332" spans="13:41">
      <c r="M332"/>
      <c r="R332"/>
      <c r="V332"/>
      <c r="Y332"/>
      <c r="AD332"/>
      <c r="AM332"/>
      <c r="AO332"/>
    </row>
    <row r="333" spans="13:41">
      <c r="M333"/>
      <c r="R333"/>
      <c r="V333"/>
      <c r="Y333"/>
      <c r="AD333"/>
      <c r="AM333"/>
      <c r="AO333"/>
    </row>
    <row r="334" spans="13:41">
      <c r="M334"/>
      <c r="R334"/>
      <c r="V334"/>
      <c r="Y334"/>
      <c r="AD334"/>
      <c r="AM334"/>
      <c r="AO334"/>
    </row>
    <row r="335" spans="13:41">
      <c r="M335"/>
      <c r="R335"/>
      <c r="V335"/>
      <c r="Y335"/>
      <c r="AD335"/>
      <c r="AM335"/>
      <c r="AO335"/>
    </row>
    <row r="336" spans="13:41">
      <c r="M336"/>
      <c r="R336"/>
      <c r="V336"/>
      <c r="Y336"/>
      <c r="AD336"/>
      <c r="AM336"/>
      <c r="AO336"/>
    </row>
    <row r="337" spans="13:41">
      <c r="M337"/>
      <c r="R337"/>
      <c r="V337"/>
      <c r="Y337"/>
      <c r="AD337"/>
      <c r="AM337"/>
      <c r="AO337"/>
    </row>
    <row r="338" spans="13:41">
      <c r="M338"/>
      <c r="R338"/>
      <c r="V338"/>
      <c r="Y338"/>
      <c r="AD338"/>
      <c r="AM338"/>
      <c r="AO338"/>
    </row>
    <row r="339" spans="13:41">
      <c r="M339"/>
      <c r="R339"/>
      <c r="V339"/>
      <c r="Y339"/>
      <c r="AD339"/>
      <c r="AM339"/>
      <c r="AO339"/>
    </row>
    <row r="340" spans="13:41">
      <c r="M340"/>
      <c r="R340"/>
      <c r="V340"/>
      <c r="Y340"/>
      <c r="AD340"/>
      <c r="AM340"/>
      <c r="AO340"/>
    </row>
    <row r="341" spans="13:41">
      <c r="M341"/>
      <c r="R341"/>
      <c r="V341"/>
      <c r="Y341"/>
      <c r="AD341"/>
      <c r="AM341"/>
      <c r="AO341"/>
    </row>
    <row r="342" spans="13:41">
      <c r="M342"/>
      <c r="R342"/>
      <c r="V342"/>
      <c r="Y342"/>
      <c r="AD342"/>
      <c r="AM342"/>
      <c r="AO342"/>
    </row>
    <row r="343" spans="13:41">
      <c r="M343"/>
      <c r="R343"/>
      <c r="V343"/>
      <c r="Y343"/>
      <c r="AD343"/>
      <c r="AM343"/>
      <c r="AO343"/>
    </row>
    <row r="344" spans="13:41">
      <c r="M344"/>
      <c r="R344"/>
      <c r="V344"/>
      <c r="Y344"/>
      <c r="AD344"/>
      <c r="AM344"/>
      <c r="AO344"/>
    </row>
    <row r="345" spans="13:41">
      <c r="M345"/>
      <c r="R345"/>
      <c r="V345"/>
      <c r="Y345"/>
      <c r="AD345"/>
      <c r="AM345"/>
      <c r="AO345"/>
    </row>
    <row r="346" spans="13:41">
      <c r="M346"/>
      <c r="R346"/>
      <c r="V346"/>
      <c r="Y346"/>
      <c r="AD346"/>
      <c r="AM346"/>
      <c r="AO346"/>
    </row>
    <row r="347" spans="13:41">
      <c r="M347"/>
      <c r="R347"/>
      <c r="V347"/>
      <c r="Y347"/>
      <c r="AD347"/>
      <c r="AM347"/>
      <c r="AO347"/>
    </row>
    <row r="348" spans="13:41">
      <c r="M348"/>
      <c r="R348"/>
      <c r="V348"/>
      <c r="Y348"/>
      <c r="AD348"/>
      <c r="AM348"/>
      <c r="AO348"/>
    </row>
    <row r="349" spans="13:41">
      <c r="M349"/>
      <c r="R349"/>
      <c r="V349"/>
      <c r="Y349"/>
      <c r="AD349"/>
      <c r="AM349"/>
      <c r="AO349"/>
    </row>
    <row r="350" spans="13:41">
      <c r="M350"/>
      <c r="R350"/>
      <c r="V350"/>
      <c r="Y350"/>
      <c r="AD350"/>
      <c r="AM350"/>
      <c r="AO350"/>
    </row>
    <row r="351" spans="13:41">
      <c r="M351"/>
      <c r="R351"/>
      <c r="V351"/>
      <c r="Y351"/>
      <c r="AD351"/>
      <c r="AM351"/>
      <c r="AO351"/>
    </row>
    <row r="352" spans="13:41">
      <c r="M352"/>
      <c r="R352"/>
      <c r="V352"/>
      <c r="Y352"/>
      <c r="AD352"/>
      <c r="AM352"/>
      <c r="AO352"/>
    </row>
    <row r="353" spans="13:41">
      <c r="M353"/>
      <c r="R353"/>
      <c r="V353"/>
      <c r="Y353"/>
      <c r="AD353"/>
      <c r="AM353"/>
      <c r="AO353"/>
    </row>
    <row r="354" spans="13:41">
      <c r="M354"/>
      <c r="R354"/>
      <c r="V354"/>
      <c r="Y354"/>
      <c r="AD354"/>
      <c r="AM354"/>
      <c r="AO354"/>
    </row>
    <row r="355" spans="13:41">
      <c r="M355"/>
      <c r="R355"/>
      <c r="V355"/>
      <c r="Y355"/>
      <c r="AD355"/>
      <c r="AM355"/>
      <c r="AO355"/>
    </row>
    <row r="356" spans="13:41">
      <c r="M356"/>
      <c r="R356"/>
      <c r="V356"/>
      <c r="Y356"/>
      <c r="AD356"/>
      <c r="AM356"/>
      <c r="AO356"/>
    </row>
    <row r="357" spans="13:41">
      <c r="M357"/>
      <c r="R357"/>
      <c r="V357"/>
      <c r="Y357"/>
      <c r="AD357"/>
      <c r="AM357"/>
      <c r="AO357"/>
    </row>
    <row r="358" spans="13:41">
      <c r="M358"/>
      <c r="R358"/>
      <c r="V358"/>
      <c r="Y358"/>
      <c r="AD358"/>
      <c r="AM358"/>
      <c r="AO358"/>
    </row>
    <row r="359" spans="13:41">
      <c r="M359"/>
      <c r="R359"/>
      <c r="V359"/>
      <c r="Y359"/>
      <c r="AD359"/>
      <c r="AM359"/>
      <c r="AO359"/>
    </row>
    <row r="360" spans="13:41">
      <c r="M360"/>
      <c r="R360"/>
      <c r="V360"/>
      <c r="Y360"/>
      <c r="AD360"/>
      <c r="AM360"/>
      <c r="AO360"/>
    </row>
    <row r="361" spans="13:41">
      <c r="M361"/>
      <c r="R361"/>
      <c r="V361"/>
      <c r="Y361"/>
      <c r="AD361"/>
      <c r="AM361"/>
      <c r="AO361"/>
    </row>
    <row r="362" spans="13:41">
      <c r="M362"/>
      <c r="R362"/>
      <c r="V362"/>
      <c r="Y362"/>
      <c r="AD362"/>
      <c r="AM362"/>
      <c r="AO362"/>
    </row>
    <row r="363" spans="13:41">
      <c r="M363"/>
      <c r="R363"/>
      <c r="V363"/>
      <c r="Y363"/>
      <c r="AD363"/>
      <c r="AM363"/>
      <c r="AO363"/>
    </row>
    <row r="364" spans="13:41">
      <c r="M364"/>
      <c r="R364"/>
      <c r="V364"/>
      <c r="Y364"/>
      <c r="AD364"/>
      <c r="AM364"/>
      <c r="AO364"/>
    </row>
    <row r="365" spans="13:41">
      <c r="M365"/>
      <c r="R365"/>
      <c r="V365"/>
      <c r="Y365"/>
      <c r="AD365"/>
      <c r="AM365"/>
      <c r="AO365"/>
    </row>
    <row r="366" spans="13:41">
      <c r="M366"/>
      <c r="R366"/>
      <c r="V366"/>
      <c r="Y366"/>
      <c r="AD366"/>
      <c r="AM366"/>
      <c r="AO366"/>
    </row>
    <row r="367" spans="13:41">
      <c r="M367"/>
      <c r="R367"/>
      <c r="V367"/>
      <c r="Y367"/>
      <c r="AD367"/>
      <c r="AM367"/>
      <c r="AO367"/>
    </row>
    <row r="368" spans="13:41">
      <c r="M368"/>
      <c r="R368"/>
      <c r="V368"/>
      <c r="Y368"/>
      <c r="AD368"/>
      <c r="AM368"/>
      <c r="AO368"/>
    </row>
    <row r="369" spans="13:41">
      <c r="M369"/>
      <c r="R369"/>
      <c r="V369"/>
      <c r="Y369"/>
      <c r="AD369"/>
      <c r="AM369"/>
      <c r="AO369"/>
    </row>
    <row r="370" spans="13:41">
      <c r="M370"/>
      <c r="R370"/>
      <c r="V370"/>
      <c r="Y370"/>
      <c r="AD370"/>
      <c r="AM370"/>
      <c r="AO370"/>
    </row>
    <row r="371" spans="13:41">
      <c r="M371"/>
      <c r="R371"/>
      <c r="V371"/>
      <c r="Y371"/>
      <c r="AD371"/>
      <c r="AM371"/>
      <c r="AO371"/>
    </row>
    <row r="372" spans="13:41">
      <c r="M372"/>
      <c r="R372"/>
      <c r="V372"/>
      <c r="Y372"/>
      <c r="AD372"/>
      <c r="AM372"/>
      <c r="AO372"/>
    </row>
    <row r="373" spans="13:41">
      <c r="M373"/>
      <c r="R373"/>
      <c r="V373"/>
      <c r="Y373"/>
      <c r="AD373"/>
      <c r="AM373"/>
      <c r="AO373"/>
    </row>
    <row r="374" spans="13:41">
      <c r="M374"/>
      <c r="R374"/>
      <c r="V374"/>
      <c r="Y374"/>
      <c r="AD374"/>
      <c r="AM374"/>
      <c r="AO374"/>
    </row>
    <row r="375" spans="13:41">
      <c r="M375"/>
      <c r="R375"/>
      <c r="V375"/>
      <c r="Y375"/>
      <c r="AD375"/>
      <c r="AM375"/>
      <c r="AO375"/>
    </row>
    <row r="376" spans="13:41">
      <c r="M376"/>
      <c r="R376"/>
      <c r="V376"/>
      <c r="Y376"/>
      <c r="AD376"/>
      <c r="AM376"/>
      <c r="AO376"/>
    </row>
    <row r="377" spans="13:41">
      <c r="M377"/>
      <c r="R377"/>
      <c r="V377"/>
      <c r="Y377"/>
      <c r="AD377"/>
      <c r="AM377"/>
      <c r="AO377"/>
    </row>
    <row r="378" spans="13:41">
      <c r="M378"/>
      <c r="R378"/>
      <c r="V378"/>
      <c r="Y378"/>
      <c r="AD378"/>
      <c r="AM378"/>
      <c r="AO378"/>
    </row>
    <row r="379" spans="13:41">
      <c r="M379"/>
      <c r="R379"/>
      <c r="V379"/>
      <c r="Y379"/>
      <c r="AD379"/>
      <c r="AM379"/>
      <c r="AO379"/>
    </row>
    <row r="380" spans="13:41">
      <c r="M380"/>
      <c r="R380"/>
      <c r="V380"/>
      <c r="Y380"/>
      <c r="AD380"/>
      <c r="AM380"/>
      <c r="AO380"/>
    </row>
    <row r="381" spans="13:41">
      <c r="M381"/>
      <c r="R381"/>
      <c r="V381"/>
      <c r="Y381"/>
      <c r="AD381"/>
      <c r="AM381"/>
      <c r="AO381"/>
    </row>
    <row r="382" spans="13:41">
      <c r="M382"/>
      <c r="R382"/>
      <c r="V382"/>
      <c r="Y382"/>
      <c r="AD382"/>
      <c r="AM382"/>
      <c r="AO382"/>
    </row>
    <row r="383" spans="13:41">
      <c r="M383"/>
      <c r="R383"/>
      <c r="V383"/>
      <c r="Y383"/>
      <c r="AD383"/>
      <c r="AM383"/>
      <c r="AO383"/>
    </row>
    <row r="384" spans="13:41">
      <c r="M384"/>
      <c r="R384"/>
      <c r="V384"/>
      <c r="Y384"/>
      <c r="AD384"/>
      <c r="AM384"/>
      <c r="AO384"/>
    </row>
    <row r="385" spans="13:41">
      <c r="M385"/>
      <c r="R385"/>
      <c r="V385"/>
      <c r="Y385"/>
      <c r="AD385"/>
      <c r="AM385"/>
      <c r="AO385"/>
    </row>
    <row r="386" spans="13:41">
      <c r="M386"/>
      <c r="R386"/>
      <c r="V386"/>
      <c r="Y386"/>
      <c r="AD386"/>
      <c r="AM386"/>
      <c r="AO386"/>
    </row>
    <row r="387" spans="13:41">
      <c r="M387"/>
      <c r="R387"/>
      <c r="V387"/>
      <c r="Y387"/>
      <c r="AD387"/>
      <c r="AM387"/>
      <c r="AO387"/>
    </row>
    <row r="388" spans="13:41">
      <c r="M388"/>
      <c r="R388"/>
      <c r="V388"/>
      <c r="Y388"/>
      <c r="AD388"/>
      <c r="AM388"/>
      <c r="AO388"/>
    </row>
    <row r="389" spans="13:41">
      <c r="M389"/>
      <c r="R389"/>
      <c r="V389"/>
      <c r="Y389"/>
      <c r="AD389"/>
      <c r="AM389"/>
      <c r="AO389"/>
    </row>
    <row r="390" spans="13:41">
      <c r="M390"/>
      <c r="R390"/>
      <c r="V390"/>
      <c r="Y390"/>
      <c r="AD390"/>
      <c r="AM390"/>
      <c r="AO390"/>
    </row>
    <row r="391" spans="13:41">
      <c r="M391"/>
      <c r="R391"/>
      <c r="V391"/>
      <c r="Y391"/>
      <c r="AD391"/>
      <c r="AM391"/>
      <c r="AO391"/>
    </row>
    <row r="392" spans="13:41">
      <c r="M392"/>
      <c r="R392"/>
      <c r="V392"/>
      <c r="Y392"/>
      <c r="AD392"/>
      <c r="AM392"/>
      <c r="AO392"/>
    </row>
    <row r="393" spans="13:41">
      <c r="M393"/>
      <c r="R393"/>
      <c r="V393"/>
      <c r="Y393"/>
      <c r="AD393"/>
      <c r="AM393"/>
      <c r="AO393"/>
    </row>
    <row r="394" spans="13:41">
      <c r="M394"/>
      <c r="R394"/>
      <c r="V394"/>
      <c r="Y394"/>
      <c r="AD394"/>
      <c r="AM394"/>
      <c r="AO394"/>
    </row>
    <row r="395" spans="13:41">
      <c r="M395"/>
      <c r="R395"/>
      <c r="V395"/>
      <c r="Y395"/>
      <c r="AD395"/>
      <c r="AM395"/>
      <c r="AO395"/>
    </row>
    <row r="396" spans="13:41">
      <c r="M396"/>
      <c r="R396"/>
      <c r="V396"/>
      <c r="Y396"/>
      <c r="AD396"/>
      <c r="AM396"/>
      <c r="AO396"/>
    </row>
    <row r="397" spans="13:41">
      <c r="M397"/>
      <c r="R397"/>
      <c r="V397"/>
      <c r="Y397"/>
      <c r="AD397"/>
      <c r="AM397"/>
      <c r="AO397"/>
    </row>
    <row r="398" spans="13:41">
      <c r="M398"/>
      <c r="R398"/>
      <c r="V398"/>
      <c r="Y398"/>
      <c r="AD398"/>
      <c r="AM398"/>
      <c r="AO398"/>
    </row>
    <row r="399" spans="13:41">
      <c r="M399"/>
      <c r="R399"/>
      <c r="V399"/>
      <c r="Y399"/>
      <c r="AD399"/>
      <c r="AM399"/>
      <c r="AO399"/>
    </row>
    <row r="400" spans="13:41">
      <c r="M400"/>
      <c r="R400"/>
      <c r="V400"/>
      <c r="Y400"/>
      <c r="AD400"/>
      <c r="AM400"/>
      <c r="AO400"/>
    </row>
    <row r="401" spans="13:41">
      <c r="M401"/>
      <c r="R401"/>
      <c r="V401"/>
      <c r="Y401"/>
      <c r="AD401"/>
      <c r="AM401"/>
      <c r="AO401"/>
    </row>
    <row r="402" spans="13:41">
      <c r="M402"/>
      <c r="R402"/>
      <c r="V402"/>
      <c r="Y402"/>
      <c r="AD402"/>
      <c r="AM402"/>
      <c r="AO402"/>
    </row>
    <row r="403" spans="13:41">
      <c r="M403"/>
      <c r="R403"/>
      <c r="V403"/>
      <c r="Y403"/>
      <c r="AD403"/>
      <c r="AM403"/>
      <c r="AO403"/>
    </row>
    <row r="404" spans="13:41">
      <c r="M404"/>
      <c r="R404"/>
      <c r="V404"/>
      <c r="Y404"/>
      <c r="AD404"/>
      <c r="AM404"/>
      <c r="AO404"/>
    </row>
    <row r="405" spans="13:41">
      <c r="M405"/>
      <c r="R405"/>
      <c r="V405"/>
      <c r="Y405"/>
      <c r="AD405"/>
      <c r="AM405"/>
      <c r="AO405"/>
    </row>
    <row r="406" spans="13:41">
      <c r="M406"/>
      <c r="R406"/>
      <c r="V406"/>
      <c r="Y406"/>
      <c r="AD406"/>
      <c r="AM406"/>
      <c r="AO406"/>
    </row>
    <row r="407" spans="13:41">
      <c r="M407"/>
      <c r="R407"/>
      <c r="V407"/>
      <c r="Y407"/>
      <c r="AD407"/>
      <c r="AM407"/>
      <c r="AO407"/>
    </row>
    <row r="408" spans="13:41">
      <c r="M408"/>
      <c r="R408"/>
      <c r="V408"/>
      <c r="Y408"/>
      <c r="AD408"/>
      <c r="AM408"/>
      <c r="AO408"/>
    </row>
    <row r="409" spans="13:41">
      <c r="M409"/>
      <c r="R409"/>
      <c r="V409"/>
      <c r="Y409"/>
      <c r="AD409"/>
      <c r="AM409"/>
      <c r="AO409"/>
    </row>
    <row r="410" spans="13:41">
      <c r="M410"/>
      <c r="R410"/>
      <c r="V410"/>
      <c r="Y410"/>
      <c r="AD410"/>
      <c r="AM410"/>
      <c r="AO410"/>
    </row>
    <row r="411" spans="13:41">
      <c r="M411"/>
      <c r="R411"/>
      <c r="V411"/>
      <c r="Y411"/>
      <c r="AD411"/>
      <c r="AM411"/>
      <c r="AO411"/>
    </row>
    <row r="412" spans="13:41">
      <c r="M412"/>
      <c r="R412"/>
      <c r="V412"/>
      <c r="Y412"/>
      <c r="AD412"/>
      <c r="AM412"/>
      <c r="AO412"/>
    </row>
    <row r="413" spans="13:41">
      <c r="M413"/>
      <c r="R413"/>
      <c r="V413"/>
      <c r="Y413"/>
      <c r="AD413"/>
      <c r="AM413"/>
      <c r="AO413"/>
    </row>
    <row r="414" spans="13:41">
      <c r="M414"/>
      <c r="R414"/>
      <c r="V414"/>
      <c r="Y414"/>
      <c r="AD414"/>
      <c r="AM414"/>
      <c r="AO414"/>
    </row>
    <row r="415" spans="13:41">
      <c r="M415"/>
      <c r="R415"/>
      <c r="V415"/>
      <c r="Y415"/>
      <c r="AD415"/>
      <c r="AM415"/>
      <c r="AO415"/>
    </row>
    <row r="416" spans="13:41">
      <c r="M416"/>
      <c r="R416"/>
      <c r="V416"/>
      <c r="Y416"/>
      <c r="AD416"/>
      <c r="AM416"/>
      <c r="AO416"/>
    </row>
    <row r="417" spans="13:41">
      <c r="M417"/>
      <c r="R417"/>
      <c r="V417"/>
      <c r="Y417"/>
      <c r="AD417"/>
      <c r="AM417"/>
      <c r="AO417"/>
    </row>
    <row r="418" spans="13:41">
      <c r="M418"/>
      <c r="R418"/>
      <c r="V418"/>
      <c r="Y418"/>
      <c r="AD418"/>
      <c r="AM418"/>
      <c r="AO418"/>
    </row>
    <row r="419" spans="13:41">
      <c r="M419"/>
      <c r="R419"/>
      <c r="V419"/>
      <c r="Y419"/>
      <c r="AD419"/>
      <c r="AM419"/>
      <c r="AO419"/>
    </row>
    <row r="420" spans="13:41">
      <c r="M420"/>
      <c r="R420"/>
      <c r="V420"/>
      <c r="Y420"/>
      <c r="AD420"/>
      <c r="AM420"/>
      <c r="AO420"/>
    </row>
    <row r="421" spans="13:41">
      <c r="M421"/>
      <c r="R421"/>
      <c r="V421"/>
      <c r="Y421"/>
      <c r="AD421"/>
      <c r="AM421"/>
      <c r="AO421"/>
    </row>
    <row r="422" spans="13:41">
      <c r="M422"/>
      <c r="R422"/>
      <c r="V422"/>
      <c r="Y422"/>
      <c r="AD422"/>
      <c r="AM422"/>
      <c r="AO422"/>
    </row>
    <row r="423" spans="13:41">
      <c r="M423"/>
      <c r="R423"/>
      <c r="V423"/>
      <c r="Y423"/>
      <c r="AD423"/>
      <c r="AM423"/>
      <c r="AO423"/>
    </row>
    <row r="424" spans="13:41">
      <c r="M424"/>
      <c r="R424"/>
      <c r="V424"/>
      <c r="Y424"/>
      <c r="AD424"/>
      <c r="AM424"/>
      <c r="AO424"/>
    </row>
    <row r="425" spans="13:41">
      <c r="M425"/>
      <c r="R425"/>
      <c r="V425"/>
      <c r="Y425"/>
      <c r="AD425"/>
      <c r="AM425"/>
      <c r="AO425"/>
    </row>
    <row r="426" spans="13:41">
      <c r="M426"/>
      <c r="R426"/>
      <c r="V426"/>
      <c r="Y426"/>
      <c r="AD426"/>
      <c r="AM426"/>
      <c r="AO426"/>
    </row>
    <row r="427" spans="13:41">
      <c r="M427"/>
      <c r="R427"/>
      <c r="V427"/>
      <c r="Y427"/>
      <c r="AD427"/>
      <c r="AM427"/>
      <c r="AO427"/>
    </row>
    <row r="428" spans="13:41">
      <c r="M428"/>
      <c r="R428"/>
      <c r="V428"/>
      <c r="Y428"/>
      <c r="AD428"/>
      <c r="AM428"/>
      <c r="AO428"/>
    </row>
    <row r="429" spans="13:41">
      <c r="M429"/>
      <c r="R429"/>
      <c r="V429"/>
      <c r="Y429"/>
      <c r="AD429"/>
      <c r="AM429"/>
      <c r="AO429"/>
    </row>
    <row r="430" spans="13:41">
      <c r="M430"/>
      <c r="R430"/>
      <c r="V430"/>
      <c r="Y430"/>
      <c r="AD430"/>
      <c r="AM430"/>
      <c r="AO430"/>
    </row>
    <row r="431" spans="13:41">
      <c r="M431"/>
      <c r="R431"/>
      <c r="V431"/>
      <c r="Y431"/>
      <c r="AD431"/>
      <c r="AM431"/>
      <c r="AO431"/>
    </row>
    <row r="432" spans="13:41">
      <c r="M432"/>
      <c r="R432"/>
      <c r="V432"/>
      <c r="Y432"/>
      <c r="AD432"/>
      <c r="AM432"/>
      <c r="AO432"/>
    </row>
    <row r="433" spans="13:41">
      <c r="M433"/>
      <c r="R433"/>
      <c r="V433"/>
      <c r="Y433"/>
      <c r="AD433"/>
      <c r="AM433"/>
      <c r="AO433"/>
    </row>
    <row r="434" spans="13:41">
      <c r="M434"/>
      <c r="R434"/>
      <c r="V434"/>
      <c r="Y434"/>
      <c r="AD434"/>
      <c r="AM434"/>
      <c r="AO434"/>
    </row>
    <row r="435" spans="13:41">
      <c r="M435"/>
      <c r="R435"/>
      <c r="V435"/>
      <c r="Y435"/>
      <c r="AD435"/>
      <c r="AM435"/>
      <c r="AO435"/>
    </row>
    <row r="436" spans="13:41">
      <c r="M436"/>
      <c r="R436"/>
      <c r="V436"/>
      <c r="Y436"/>
      <c r="AD436"/>
      <c r="AM436"/>
      <c r="AO436"/>
    </row>
    <row r="437" spans="13:41">
      <c r="M437"/>
      <c r="R437"/>
      <c r="V437"/>
      <c r="Y437"/>
      <c r="AD437"/>
      <c r="AM437"/>
      <c r="AO437"/>
    </row>
    <row r="438" spans="13:41">
      <c r="M438"/>
      <c r="R438"/>
      <c r="V438"/>
      <c r="Y438"/>
      <c r="AD438"/>
      <c r="AM438"/>
      <c r="AO438"/>
    </row>
    <row r="439" spans="13:41">
      <c r="M439"/>
      <c r="R439"/>
      <c r="V439"/>
      <c r="Y439"/>
      <c r="AD439"/>
      <c r="AM439"/>
      <c r="AO439"/>
    </row>
    <row r="440" spans="13:41">
      <c r="M440"/>
      <c r="R440"/>
      <c r="V440"/>
      <c r="Y440"/>
      <c r="AD440"/>
      <c r="AM440"/>
      <c r="AO440"/>
    </row>
    <row r="441" spans="13:41">
      <c r="M441"/>
      <c r="R441"/>
      <c r="V441"/>
      <c r="Y441"/>
      <c r="AD441"/>
      <c r="AM441"/>
      <c r="AO441"/>
    </row>
    <row r="442" spans="13:41">
      <c r="M442"/>
      <c r="R442"/>
      <c r="V442"/>
      <c r="Y442"/>
      <c r="AD442"/>
      <c r="AM442"/>
      <c r="AO442"/>
    </row>
    <row r="443" spans="13:41">
      <c r="M443"/>
      <c r="R443"/>
      <c r="V443"/>
      <c r="Y443"/>
      <c r="AD443"/>
      <c r="AM443"/>
      <c r="AO443"/>
    </row>
    <row r="444" spans="13:41">
      <c r="M444"/>
      <c r="R444"/>
      <c r="V444"/>
      <c r="Y444"/>
      <c r="AD444"/>
      <c r="AM444"/>
      <c r="AO444"/>
    </row>
    <row r="445" spans="13:41">
      <c r="M445"/>
      <c r="R445"/>
      <c r="V445"/>
      <c r="Y445"/>
      <c r="AD445"/>
      <c r="AM445"/>
      <c r="AO445"/>
    </row>
    <row r="446" spans="13:41">
      <c r="M446"/>
      <c r="R446"/>
      <c r="V446"/>
      <c r="Y446"/>
      <c r="AD446"/>
      <c r="AM446"/>
      <c r="AO446"/>
    </row>
    <row r="447" spans="13:41">
      <c r="M447"/>
      <c r="R447"/>
      <c r="V447"/>
      <c r="Y447"/>
      <c r="AD447"/>
      <c r="AM447"/>
      <c r="AO447"/>
    </row>
    <row r="448" spans="13:41">
      <c r="M448"/>
      <c r="R448"/>
      <c r="V448"/>
      <c r="Y448"/>
      <c r="AD448"/>
      <c r="AM448"/>
      <c r="AO448"/>
    </row>
    <row r="449" spans="13:41">
      <c r="M449"/>
      <c r="R449"/>
      <c r="V449"/>
      <c r="Y449"/>
      <c r="AD449"/>
      <c r="AM449"/>
      <c r="AO449"/>
    </row>
    <row r="450" spans="13:41">
      <c r="M450"/>
      <c r="R450"/>
      <c r="V450"/>
      <c r="Y450"/>
      <c r="AD450"/>
      <c r="AM450"/>
      <c r="AO450"/>
    </row>
    <row r="451" spans="13:41">
      <c r="M451"/>
      <c r="R451"/>
      <c r="V451"/>
      <c r="Y451"/>
      <c r="AD451"/>
      <c r="AM451"/>
      <c r="AO451"/>
    </row>
    <row r="452" spans="13:41">
      <c r="M452"/>
      <c r="R452"/>
      <c r="V452"/>
      <c r="Y452"/>
      <c r="AD452"/>
      <c r="AM452"/>
      <c r="AO452"/>
    </row>
    <row r="453" spans="13:41">
      <c r="M453"/>
      <c r="R453"/>
      <c r="V453"/>
      <c r="Y453"/>
      <c r="AD453"/>
      <c r="AM453"/>
      <c r="AO453"/>
    </row>
    <row r="454" spans="13:41">
      <c r="M454"/>
      <c r="R454"/>
      <c r="V454"/>
      <c r="Y454"/>
      <c r="AD454"/>
      <c r="AM454"/>
      <c r="AO454"/>
    </row>
    <row r="455" spans="13:41">
      <c r="M455"/>
      <c r="R455"/>
      <c r="V455"/>
      <c r="Y455"/>
      <c r="AD455"/>
      <c r="AM455"/>
      <c r="AO455"/>
    </row>
    <row r="456" spans="13:41">
      <c r="M456"/>
      <c r="R456"/>
      <c r="V456"/>
      <c r="Y456"/>
      <c r="AD456"/>
      <c r="AM456"/>
      <c r="AO456"/>
    </row>
    <row r="457" spans="13:41">
      <c r="M457"/>
      <c r="R457"/>
      <c r="V457"/>
      <c r="Y457"/>
      <c r="AD457"/>
      <c r="AM457"/>
      <c r="AO457"/>
    </row>
    <row r="458" spans="13:41">
      <c r="M458"/>
      <c r="R458"/>
      <c r="V458"/>
      <c r="Y458"/>
      <c r="AD458"/>
      <c r="AM458"/>
      <c r="AO458"/>
    </row>
    <row r="459" spans="13:41">
      <c r="M459"/>
      <c r="R459"/>
      <c r="V459"/>
      <c r="Y459"/>
      <c r="AD459"/>
      <c r="AM459"/>
      <c r="AO459"/>
    </row>
    <row r="460" spans="13:41">
      <c r="M460"/>
      <c r="R460"/>
      <c r="V460"/>
      <c r="Y460"/>
      <c r="AD460"/>
      <c r="AM460"/>
      <c r="AO460"/>
    </row>
    <row r="461" spans="13:41">
      <c r="M461"/>
      <c r="R461"/>
      <c r="V461"/>
      <c r="Y461"/>
      <c r="AD461"/>
      <c r="AM461"/>
      <c r="AO461"/>
    </row>
    <row r="462" spans="13:41">
      <c r="M462"/>
      <c r="R462"/>
      <c r="V462"/>
      <c r="Y462"/>
      <c r="AD462"/>
      <c r="AM462"/>
      <c r="AO462"/>
    </row>
    <row r="463" spans="13:41">
      <c r="M463"/>
      <c r="R463"/>
      <c r="V463"/>
      <c r="Y463"/>
      <c r="AD463"/>
      <c r="AM463"/>
      <c r="AO463"/>
    </row>
    <row r="464" spans="13:41">
      <c r="M464"/>
      <c r="R464"/>
      <c r="V464"/>
      <c r="Y464"/>
      <c r="AD464"/>
      <c r="AM464"/>
      <c r="AO464"/>
    </row>
    <row r="465" spans="13:41">
      <c r="M465"/>
      <c r="R465"/>
      <c r="V465"/>
      <c r="Y465"/>
      <c r="AD465"/>
      <c r="AM465"/>
      <c r="AO465"/>
    </row>
    <row r="466" spans="13:41">
      <c r="M466"/>
      <c r="R466"/>
      <c r="V466"/>
      <c r="Y466"/>
      <c r="AD466"/>
      <c r="AM466"/>
      <c r="AO466"/>
    </row>
    <row r="467" spans="13:41">
      <c r="M467"/>
      <c r="R467"/>
      <c r="V467"/>
      <c r="Y467"/>
      <c r="AD467"/>
      <c r="AM467"/>
      <c r="AO467"/>
    </row>
    <row r="468" spans="13:41">
      <c r="M468"/>
      <c r="R468"/>
      <c r="V468"/>
      <c r="Y468"/>
      <c r="AD468"/>
      <c r="AM468"/>
      <c r="AO468"/>
    </row>
    <row r="469" spans="13:41">
      <c r="M469"/>
      <c r="R469"/>
      <c r="V469"/>
      <c r="Y469"/>
      <c r="AD469"/>
      <c r="AM469"/>
      <c r="AO469"/>
    </row>
    <row r="470" spans="13:41">
      <c r="M470"/>
      <c r="R470"/>
      <c r="V470"/>
      <c r="Y470"/>
      <c r="AD470"/>
      <c r="AM470"/>
      <c r="AO470"/>
    </row>
    <row r="471" spans="13:41">
      <c r="M471"/>
      <c r="R471"/>
      <c r="V471"/>
      <c r="Y471"/>
      <c r="AD471"/>
      <c r="AM471"/>
      <c r="AO471"/>
    </row>
    <row r="472" spans="13:41">
      <c r="M472"/>
      <c r="R472"/>
      <c r="V472"/>
      <c r="Y472"/>
      <c r="AD472"/>
      <c r="AM472"/>
      <c r="AO472"/>
    </row>
    <row r="473" spans="13:41">
      <c r="M473"/>
      <c r="R473"/>
      <c r="V473"/>
      <c r="Y473"/>
      <c r="AD473"/>
      <c r="AM473"/>
      <c r="AO473"/>
    </row>
    <row r="474" spans="13:41">
      <c r="M474"/>
      <c r="R474"/>
      <c r="V474"/>
      <c r="Y474"/>
      <c r="AD474"/>
      <c r="AM474"/>
      <c r="AO474"/>
    </row>
    <row r="475" spans="13:41">
      <c r="M475"/>
      <c r="R475"/>
      <c r="V475"/>
      <c r="Y475"/>
      <c r="AD475"/>
      <c r="AM475"/>
      <c r="AO475"/>
    </row>
    <row r="476" spans="13:41">
      <c r="M476"/>
      <c r="R476"/>
      <c r="V476"/>
      <c r="Y476"/>
      <c r="AD476"/>
      <c r="AM476"/>
      <c r="AO476"/>
    </row>
    <row r="477" spans="13:41">
      <c r="M477"/>
      <c r="R477"/>
      <c r="V477"/>
      <c r="Y477"/>
      <c r="AD477"/>
      <c r="AM477"/>
      <c r="AO477"/>
    </row>
    <row r="478" spans="13:41">
      <c r="M478"/>
      <c r="R478"/>
      <c r="V478"/>
      <c r="Y478"/>
      <c r="AD478"/>
      <c r="AM478"/>
      <c r="AO478"/>
    </row>
    <row r="479" spans="13:41">
      <c r="M479"/>
      <c r="R479"/>
      <c r="V479"/>
      <c r="Y479"/>
      <c r="AD479"/>
      <c r="AM479"/>
      <c r="AO479"/>
    </row>
    <row r="480" spans="13:41">
      <c r="M480"/>
      <c r="R480"/>
      <c r="V480"/>
      <c r="Y480"/>
      <c r="AD480"/>
      <c r="AM480"/>
      <c r="AO480"/>
    </row>
    <row r="481" spans="13:41">
      <c r="M481"/>
      <c r="R481"/>
      <c r="V481"/>
      <c r="Y481"/>
      <c r="AD481"/>
      <c r="AM481"/>
      <c r="AO481"/>
    </row>
    <row r="482" spans="13:41">
      <c r="M482"/>
      <c r="R482"/>
      <c r="V482"/>
      <c r="Y482"/>
      <c r="AD482"/>
      <c r="AM482"/>
      <c r="AO482"/>
    </row>
    <row r="483" spans="13:41">
      <c r="M483"/>
      <c r="R483"/>
      <c r="V483"/>
      <c r="Y483"/>
      <c r="AD483"/>
      <c r="AM483"/>
      <c r="AO483"/>
    </row>
    <row r="484" spans="13:41">
      <c r="M484"/>
      <c r="R484"/>
      <c r="V484"/>
      <c r="Y484"/>
      <c r="AD484"/>
      <c r="AM484"/>
      <c r="AO484"/>
    </row>
    <row r="485" spans="13:41">
      <c r="M485"/>
      <c r="R485"/>
      <c r="V485"/>
      <c r="Y485"/>
      <c r="AD485"/>
      <c r="AM485"/>
      <c r="AO485"/>
    </row>
    <row r="486" spans="13:41">
      <c r="M486"/>
      <c r="R486"/>
      <c r="V486"/>
      <c r="Y486"/>
      <c r="AD486"/>
      <c r="AM486"/>
      <c r="AO486"/>
    </row>
    <row r="487" spans="13:41">
      <c r="M487"/>
      <c r="R487"/>
      <c r="V487"/>
      <c r="Y487"/>
      <c r="AD487"/>
      <c r="AM487"/>
      <c r="AO487"/>
    </row>
    <row r="488" spans="13:41">
      <c r="M488"/>
      <c r="R488"/>
      <c r="V488"/>
      <c r="Y488"/>
      <c r="AD488"/>
      <c r="AM488"/>
      <c r="AO488"/>
    </row>
    <row r="489" spans="13:41">
      <c r="M489"/>
      <c r="R489"/>
      <c r="V489"/>
      <c r="Y489"/>
      <c r="AD489"/>
      <c r="AM489"/>
      <c r="AO489"/>
    </row>
    <row r="490" spans="13:41">
      <c r="M490"/>
      <c r="R490"/>
      <c r="V490"/>
      <c r="Y490"/>
      <c r="AD490"/>
      <c r="AM490"/>
      <c r="AO490"/>
    </row>
    <row r="491" spans="13:41">
      <c r="M491"/>
      <c r="R491"/>
      <c r="V491"/>
      <c r="Y491"/>
      <c r="AD491"/>
      <c r="AM491"/>
      <c r="AO491"/>
    </row>
    <row r="492" spans="13:41">
      <c r="M492"/>
      <c r="R492"/>
      <c r="V492"/>
      <c r="Y492"/>
      <c r="AD492"/>
      <c r="AM492"/>
      <c r="AO492"/>
    </row>
    <row r="493" spans="13:41">
      <c r="M493"/>
      <c r="R493"/>
      <c r="V493"/>
      <c r="Y493"/>
      <c r="AD493"/>
      <c r="AM493"/>
      <c r="AO493"/>
    </row>
    <row r="494" spans="13:41">
      <c r="M494"/>
      <c r="R494"/>
      <c r="V494"/>
      <c r="Y494"/>
      <c r="AD494"/>
      <c r="AM494"/>
      <c r="AO494"/>
    </row>
    <row r="495" spans="13:41">
      <c r="M495"/>
      <c r="R495"/>
      <c r="V495"/>
      <c r="Y495"/>
      <c r="AD495"/>
      <c r="AM495"/>
      <c r="AO495"/>
    </row>
    <row r="496" spans="13:41">
      <c r="M496"/>
      <c r="R496"/>
      <c r="V496"/>
      <c r="Y496"/>
      <c r="AD496"/>
      <c r="AM496"/>
      <c r="AO496"/>
    </row>
    <row r="497" spans="13:41">
      <c r="M497"/>
      <c r="R497"/>
      <c r="V497"/>
      <c r="Y497"/>
      <c r="AD497"/>
      <c r="AM497"/>
      <c r="AO497"/>
    </row>
    <row r="498" spans="13:41">
      <c r="M498"/>
      <c r="R498"/>
      <c r="V498"/>
      <c r="Y498"/>
      <c r="AD498"/>
      <c r="AM498"/>
      <c r="AO498"/>
    </row>
    <row r="499" spans="13:41">
      <c r="M499"/>
      <c r="R499"/>
      <c r="V499"/>
      <c r="Y499"/>
      <c r="AD499"/>
      <c r="AM499"/>
      <c r="AO499"/>
    </row>
    <row r="500" spans="13:41">
      <c r="M500"/>
      <c r="R500"/>
      <c r="V500"/>
      <c r="Y500"/>
      <c r="AD500"/>
      <c r="AM500"/>
      <c r="AO500"/>
    </row>
    <row r="501" spans="13:41">
      <c r="M501"/>
      <c r="R501"/>
      <c r="V501"/>
      <c r="Y501"/>
      <c r="AD501"/>
      <c r="AM501"/>
      <c r="AO501"/>
    </row>
    <row r="502" spans="13:41">
      <c r="M502"/>
      <c r="R502"/>
      <c r="V502"/>
      <c r="Y502"/>
      <c r="AD502"/>
      <c r="AM502"/>
      <c r="AO502"/>
    </row>
    <row r="503" spans="13:41">
      <c r="M503"/>
      <c r="R503"/>
      <c r="V503"/>
      <c r="Y503"/>
      <c r="AD503"/>
      <c r="AM503"/>
      <c r="AO503"/>
    </row>
    <row r="504" spans="13:41">
      <c r="M504"/>
      <c r="R504"/>
      <c r="V504"/>
      <c r="Y504"/>
      <c r="AD504"/>
      <c r="AM504"/>
      <c r="AO504"/>
    </row>
    <row r="505" spans="13:41">
      <c r="M505"/>
      <c r="R505"/>
      <c r="V505"/>
      <c r="Y505"/>
      <c r="AD505"/>
      <c r="AM505"/>
      <c r="AO505"/>
    </row>
    <row r="506" spans="13:41">
      <c r="M506"/>
      <c r="R506"/>
      <c r="V506"/>
      <c r="Y506"/>
      <c r="AD506"/>
      <c r="AM506"/>
      <c r="AO506"/>
    </row>
    <row r="507" spans="13:41">
      <c r="M507"/>
      <c r="R507"/>
      <c r="V507"/>
      <c r="Y507"/>
      <c r="AD507"/>
      <c r="AM507"/>
      <c r="AO507"/>
    </row>
    <row r="508" spans="13:41">
      <c r="M508"/>
      <c r="R508"/>
      <c r="V508"/>
      <c r="Y508"/>
      <c r="AD508"/>
      <c r="AM508"/>
      <c r="AO508"/>
    </row>
    <row r="509" spans="13:41">
      <c r="M509"/>
      <c r="R509"/>
      <c r="V509"/>
      <c r="Y509"/>
      <c r="AD509"/>
      <c r="AM509"/>
      <c r="AO509"/>
    </row>
    <row r="510" spans="13:41">
      <c r="M510"/>
      <c r="R510"/>
      <c r="V510"/>
      <c r="Y510"/>
      <c r="AD510"/>
      <c r="AM510"/>
      <c r="AO510"/>
    </row>
    <row r="511" spans="13:41">
      <c r="M511"/>
      <c r="R511"/>
      <c r="V511"/>
      <c r="Y511"/>
      <c r="AD511"/>
      <c r="AM511"/>
      <c r="AO511"/>
    </row>
    <row r="512" spans="13:41">
      <c r="M512"/>
      <c r="R512"/>
      <c r="V512"/>
      <c r="Y512"/>
      <c r="AD512"/>
      <c r="AM512"/>
      <c r="AO512"/>
    </row>
    <row r="513" spans="13:41">
      <c r="M513"/>
      <c r="R513"/>
      <c r="V513"/>
      <c r="Y513"/>
      <c r="AD513"/>
      <c r="AM513"/>
      <c r="AO513"/>
    </row>
    <row r="514" spans="13:41">
      <c r="M514"/>
      <c r="R514"/>
      <c r="V514"/>
      <c r="Y514"/>
      <c r="AD514"/>
      <c r="AM514"/>
      <c r="AO514"/>
    </row>
    <row r="515" spans="13:41">
      <c r="M515"/>
      <c r="R515"/>
      <c r="V515"/>
      <c r="Y515"/>
      <c r="AD515"/>
      <c r="AM515"/>
      <c r="AO515"/>
    </row>
    <row r="516" spans="13:41">
      <c r="M516"/>
      <c r="R516"/>
      <c r="V516"/>
      <c r="Y516"/>
      <c r="AD516"/>
      <c r="AM516"/>
      <c r="AO516"/>
    </row>
    <row r="517" spans="13:41">
      <c r="M517"/>
      <c r="R517"/>
      <c r="V517"/>
      <c r="Y517"/>
      <c r="AD517"/>
      <c r="AM517"/>
      <c r="AO517"/>
    </row>
    <row r="518" spans="13:41">
      <c r="M518"/>
      <c r="R518"/>
      <c r="V518"/>
      <c r="Y518"/>
      <c r="AD518"/>
      <c r="AM518"/>
      <c r="AO518"/>
    </row>
    <row r="519" spans="13:41">
      <c r="M519"/>
      <c r="R519"/>
      <c r="V519"/>
      <c r="Y519"/>
      <c r="AD519"/>
      <c r="AM519"/>
      <c r="AO519"/>
    </row>
    <row r="520" spans="13:41">
      <c r="M520"/>
      <c r="R520"/>
      <c r="V520"/>
      <c r="Y520"/>
      <c r="AD520"/>
      <c r="AM520"/>
      <c r="AO520"/>
    </row>
    <row r="521" spans="13:41">
      <c r="M521"/>
      <c r="R521"/>
      <c r="V521"/>
      <c r="Y521"/>
      <c r="AD521"/>
      <c r="AM521"/>
      <c r="AO521"/>
    </row>
    <row r="522" spans="13:41">
      <c r="M522"/>
      <c r="R522"/>
      <c r="V522"/>
      <c r="Y522"/>
      <c r="AD522"/>
      <c r="AM522"/>
      <c r="AO522"/>
    </row>
    <row r="523" spans="13:41">
      <c r="M523"/>
      <c r="R523"/>
      <c r="V523"/>
      <c r="Y523"/>
      <c r="AD523"/>
      <c r="AM523"/>
      <c r="AO523"/>
    </row>
    <row r="524" spans="13:41">
      <c r="M524"/>
      <c r="R524"/>
      <c r="V524"/>
      <c r="Y524"/>
      <c r="AD524"/>
      <c r="AM524"/>
      <c r="AO524"/>
    </row>
    <row r="525" spans="13:41">
      <c r="M525"/>
      <c r="R525"/>
      <c r="V525"/>
      <c r="Y525"/>
      <c r="AD525"/>
      <c r="AM525"/>
      <c r="AO525"/>
    </row>
    <row r="526" spans="13:41">
      <c r="M526"/>
      <c r="R526"/>
      <c r="V526"/>
      <c r="Y526"/>
      <c r="AD526"/>
      <c r="AM526"/>
      <c r="AO526"/>
    </row>
    <row r="527" spans="13:41">
      <c r="M527"/>
      <c r="R527"/>
      <c r="V527"/>
      <c r="Y527"/>
      <c r="AD527"/>
      <c r="AM527"/>
      <c r="AO527"/>
    </row>
    <row r="528" spans="13:41">
      <c r="M528"/>
      <c r="R528"/>
      <c r="V528"/>
      <c r="Y528"/>
      <c r="AD528"/>
      <c r="AM528"/>
      <c r="AO528"/>
    </row>
    <row r="529" spans="13:41">
      <c r="M529"/>
      <c r="R529"/>
      <c r="V529"/>
      <c r="Y529"/>
      <c r="AD529"/>
      <c r="AM529"/>
      <c r="AO529"/>
    </row>
    <row r="530" spans="13:41">
      <c r="M530"/>
      <c r="R530"/>
      <c r="V530"/>
      <c r="Y530"/>
      <c r="AD530"/>
      <c r="AM530"/>
      <c r="AO530"/>
    </row>
    <row r="531" spans="13:41">
      <c r="M531"/>
      <c r="R531"/>
      <c r="V531"/>
      <c r="Y531"/>
      <c r="AD531"/>
      <c r="AM531"/>
      <c r="AO531"/>
    </row>
    <row r="532" spans="13:41">
      <c r="M532"/>
      <c r="R532"/>
      <c r="V532"/>
      <c r="Y532"/>
      <c r="AD532"/>
      <c r="AM532"/>
      <c r="AO532"/>
    </row>
    <row r="533" spans="13:41">
      <c r="M533"/>
      <c r="R533"/>
      <c r="V533"/>
      <c r="Y533"/>
      <c r="AD533"/>
      <c r="AM533"/>
      <c r="AO533"/>
    </row>
    <row r="534" spans="13:41">
      <c r="M534"/>
      <c r="R534"/>
      <c r="V534"/>
      <c r="Y534"/>
      <c r="AD534"/>
      <c r="AM534"/>
      <c r="AO534"/>
    </row>
    <row r="535" spans="13:41">
      <c r="M535"/>
      <c r="R535"/>
      <c r="V535"/>
      <c r="Y535"/>
      <c r="AD535"/>
      <c r="AM535"/>
      <c r="AO535"/>
    </row>
    <row r="536" spans="13:41">
      <c r="M536"/>
      <c r="R536"/>
      <c r="V536"/>
      <c r="Y536"/>
      <c r="AD536"/>
      <c r="AM536"/>
      <c r="AO536"/>
    </row>
    <row r="537" spans="13:41">
      <c r="M537"/>
      <c r="R537"/>
      <c r="V537"/>
      <c r="Y537"/>
      <c r="AD537"/>
      <c r="AM537"/>
      <c r="AO537"/>
    </row>
    <row r="538" spans="13:41">
      <c r="M538"/>
      <c r="R538"/>
      <c r="V538"/>
      <c r="Y538"/>
      <c r="AD538"/>
      <c r="AM538"/>
      <c r="AO538"/>
    </row>
    <row r="539" spans="13:41">
      <c r="M539"/>
      <c r="R539"/>
      <c r="V539"/>
      <c r="Y539"/>
      <c r="AD539"/>
      <c r="AM539"/>
      <c r="AO539"/>
    </row>
    <row r="540" spans="13:41">
      <c r="M540"/>
      <c r="R540"/>
      <c r="V540"/>
      <c r="Y540"/>
      <c r="AD540"/>
      <c r="AM540"/>
      <c r="AO540"/>
    </row>
    <row r="541" spans="13:41">
      <c r="M541"/>
      <c r="R541"/>
      <c r="V541"/>
      <c r="Y541"/>
      <c r="AD541"/>
      <c r="AM541"/>
      <c r="AO541"/>
    </row>
    <row r="542" spans="13:41">
      <c r="M542"/>
      <c r="R542"/>
      <c r="V542"/>
      <c r="Y542"/>
      <c r="AD542"/>
      <c r="AM542"/>
      <c r="AO542"/>
    </row>
    <row r="543" spans="13:41">
      <c r="M543"/>
      <c r="R543"/>
      <c r="V543"/>
      <c r="Y543"/>
      <c r="AD543"/>
      <c r="AM543"/>
      <c r="AO543"/>
    </row>
    <row r="544" spans="13:41">
      <c r="M544"/>
      <c r="R544"/>
      <c r="V544"/>
      <c r="Y544"/>
      <c r="AD544"/>
      <c r="AM544"/>
      <c r="AO544"/>
    </row>
    <row r="545" spans="13:41">
      <c r="M545"/>
      <c r="R545"/>
      <c r="V545"/>
      <c r="Y545"/>
      <c r="AD545"/>
      <c r="AM545"/>
      <c r="AO545"/>
    </row>
    <row r="546" spans="13:41">
      <c r="M546"/>
      <c r="R546"/>
      <c r="V546"/>
      <c r="Y546"/>
      <c r="AD546"/>
      <c r="AM546"/>
      <c r="AO546"/>
    </row>
    <row r="547" spans="13:41">
      <c r="M547"/>
      <c r="R547"/>
      <c r="V547"/>
      <c r="Y547"/>
      <c r="AD547"/>
      <c r="AM547"/>
      <c r="AO547"/>
    </row>
    <row r="548" spans="13:41">
      <c r="M548"/>
      <c r="R548"/>
      <c r="V548"/>
      <c r="Y548"/>
      <c r="AD548"/>
      <c r="AM548"/>
      <c r="AO548"/>
    </row>
    <row r="549" spans="13:41">
      <c r="M549"/>
      <c r="R549"/>
      <c r="V549"/>
      <c r="Y549"/>
      <c r="AD549"/>
      <c r="AM549"/>
      <c r="AO549"/>
    </row>
    <row r="550" spans="13:41">
      <c r="M550"/>
      <c r="R550"/>
      <c r="V550"/>
      <c r="Y550"/>
      <c r="AD550"/>
      <c r="AM550"/>
      <c r="AO550"/>
    </row>
    <row r="551" spans="13:41">
      <c r="M551"/>
      <c r="R551"/>
      <c r="V551"/>
      <c r="Y551"/>
      <c r="AD551"/>
      <c r="AM551"/>
      <c r="AO551"/>
    </row>
    <row r="552" spans="13:41">
      <c r="M552"/>
      <c r="R552"/>
      <c r="V552"/>
      <c r="Y552"/>
      <c r="AD552"/>
      <c r="AM552"/>
      <c r="AO552"/>
    </row>
    <row r="553" spans="13:41">
      <c r="M553"/>
      <c r="R553"/>
      <c r="V553"/>
      <c r="Y553"/>
      <c r="AD553"/>
      <c r="AM553"/>
      <c r="AO553"/>
    </row>
    <row r="554" spans="13:41">
      <c r="M554"/>
      <c r="R554"/>
      <c r="V554"/>
      <c r="Y554"/>
      <c r="AD554"/>
      <c r="AM554"/>
      <c r="AO554"/>
    </row>
    <row r="555" spans="13:41">
      <c r="M555"/>
      <c r="R555"/>
      <c r="V555"/>
      <c r="Y555"/>
      <c r="AD555"/>
      <c r="AM555"/>
      <c r="AO555"/>
    </row>
    <row r="556" spans="13:41">
      <c r="M556"/>
      <c r="R556"/>
      <c r="V556"/>
      <c r="Y556"/>
      <c r="AD556"/>
      <c r="AM556"/>
      <c r="AO556"/>
    </row>
    <row r="557" spans="13:41">
      <c r="M557"/>
      <c r="R557"/>
      <c r="V557"/>
      <c r="Y557"/>
      <c r="AD557"/>
      <c r="AM557"/>
      <c r="AO557"/>
    </row>
    <row r="558" spans="13:41">
      <c r="M558"/>
      <c r="R558"/>
      <c r="V558"/>
      <c r="Y558"/>
      <c r="AD558"/>
      <c r="AM558"/>
      <c r="AO558"/>
    </row>
    <row r="559" spans="13:41">
      <c r="M559"/>
      <c r="R559"/>
      <c r="V559"/>
      <c r="Y559"/>
      <c r="AD559"/>
      <c r="AM559"/>
      <c r="AO559"/>
    </row>
    <row r="560" spans="13:41">
      <c r="M560"/>
      <c r="R560"/>
      <c r="V560"/>
      <c r="Y560"/>
      <c r="AD560"/>
      <c r="AM560"/>
      <c r="AO560"/>
    </row>
    <row r="561" spans="13:41">
      <c r="M561"/>
      <c r="R561"/>
      <c r="V561"/>
      <c r="Y561"/>
      <c r="AD561"/>
      <c r="AM561"/>
      <c r="AO561"/>
    </row>
    <row r="562" spans="13:41">
      <c r="M562"/>
      <c r="R562"/>
      <c r="V562"/>
      <c r="Y562"/>
      <c r="AD562"/>
      <c r="AM562"/>
      <c r="AO562"/>
    </row>
    <row r="563" spans="13:41">
      <c r="M563"/>
      <c r="R563"/>
      <c r="V563"/>
      <c r="Y563"/>
      <c r="AD563"/>
      <c r="AM563"/>
      <c r="AO563"/>
    </row>
    <row r="564" spans="13:41">
      <c r="M564"/>
      <c r="R564"/>
      <c r="V564"/>
      <c r="Y564"/>
      <c r="AD564"/>
      <c r="AM564"/>
      <c r="AO564"/>
    </row>
    <row r="565" spans="13:41">
      <c r="M565"/>
      <c r="R565"/>
      <c r="V565"/>
      <c r="Y565"/>
      <c r="AD565"/>
      <c r="AM565"/>
      <c r="AO565"/>
    </row>
    <row r="566" spans="13:41">
      <c r="M566"/>
      <c r="R566"/>
      <c r="V566"/>
      <c r="Y566"/>
      <c r="AD566"/>
      <c r="AM566"/>
      <c r="AO566"/>
    </row>
    <row r="567" spans="13:41">
      <c r="M567"/>
      <c r="R567"/>
      <c r="V567"/>
      <c r="Y567"/>
      <c r="AD567"/>
      <c r="AM567"/>
      <c r="AO567"/>
    </row>
    <row r="568" spans="13:41">
      <c r="M568"/>
      <c r="R568"/>
      <c r="V568"/>
      <c r="Y568"/>
      <c r="AD568"/>
      <c r="AM568"/>
      <c r="AO568"/>
    </row>
    <row r="569" spans="13:41">
      <c r="M569"/>
      <c r="R569"/>
      <c r="V569"/>
      <c r="Y569"/>
      <c r="AD569"/>
      <c r="AM569"/>
      <c r="AO569"/>
    </row>
    <row r="570" spans="13:41">
      <c r="M570"/>
      <c r="R570"/>
      <c r="V570"/>
      <c r="Y570"/>
      <c r="AD570"/>
      <c r="AM570"/>
      <c r="AO570"/>
    </row>
    <row r="571" spans="13:41">
      <c r="M571"/>
      <c r="R571"/>
      <c r="V571"/>
      <c r="Y571"/>
      <c r="AD571"/>
      <c r="AM571"/>
      <c r="AO571"/>
    </row>
    <row r="572" spans="13:41">
      <c r="M572"/>
      <c r="R572"/>
      <c r="V572"/>
      <c r="Y572"/>
      <c r="AD572"/>
      <c r="AM572"/>
      <c r="AO572"/>
    </row>
    <row r="573" spans="13:41">
      <c r="M573"/>
      <c r="R573"/>
      <c r="V573"/>
      <c r="Y573"/>
      <c r="AD573"/>
      <c r="AM573"/>
      <c r="AO573"/>
    </row>
    <row r="574" spans="13:41">
      <c r="M574"/>
      <c r="R574"/>
      <c r="V574"/>
      <c r="Y574"/>
      <c r="AD574"/>
      <c r="AM574"/>
      <c r="AO574"/>
    </row>
    <row r="575" spans="13:41">
      <c r="M575"/>
      <c r="R575"/>
      <c r="V575"/>
      <c r="Y575"/>
      <c r="AD575"/>
      <c r="AM575"/>
      <c r="AO575"/>
    </row>
    <row r="576" spans="13:41">
      <c r="M576"/>
      <c r="R576"/>
      <c r="V576"/>
      <c r="Y576"/>
      <c r="AD576"/>
      <c r="AM576"/>
      <c r="AO576"/>
    </row>
    <row r="577" spans="13:41">
      <c r="M577"/>
      <c r="R577"/>
      <c r="V577"/>
      <c r="Y577"/>
      <c r="AD577"/>
      <c r="AM577"/>
      <c r="AO577"/>
    </row>
    <row r="578" spans="13:41">
      <c r="M578"/>
      <c r="R578"/>
      <c r="V578"/>
      <c r="Y578"/>
      <c r="AD578"/>
      <c r="AM578"/>
      <c r="AO578"/>
    </row>
    <row r="579" spans="13:41">
      <c r="M579"/>
      <c r="R579"/>
      <c r="V579"/>
      <c r="Y579"/>
      <c r="AD579"/>
      <c r="AM579"/>
      <c r="AO579"/>
    </row>
    <row r="580" spans="13:41">
      <c r="M580"/>
      <c r="R580"/>
      <c r="V580"/>
      <c r="Y580"/>
      <c r="AD580"/>
      <c r="AM580"/>
      <c r="AO580"/>
    </row>
    <row r="581" spans="13:41">
      <c r="M581"/>
      <c r="R581"/>
      <c r="V581"/>
      <c r="Y581"/>
      <c r="AD581"/>
      <c r="AM581"/>
      <c r="AO581"/>
    </row>
    <row r="582" spans="13:41">
      <c r="M582"/>
      <c r="R582"/>
      <c r="V582"/>
      <c r="Y582"/>
      <c r="AD582"/>
      <c r="AM582"/>
      <c r="AO582"/>
    </row>
    <row r="583" spans="13:41">
      <c r="M583"/>
      <c r="R583"/>
      <c r="V583"/>
      <c r="Y583"/>
      <c r="AD583"/>
      <c r="AM583"/>
      <c r="AO583"/>
    </row>
    <row r="584" spans="13:41">
      <c r="M584"/>
      <c r="R584"/>
      <c r="V584"/>
      <c r="Y584"/>
      <c r="AD584"/>
      <c r="AM584"/>
      <c r="AO584"/>
    </row>
    <row r="585" spans="13:41">
      <c r="M585"/>
      <c r="R585"/>
      <c r="V585"/>
      <c r="Y585"/>
      <c r="AD585"/>
      <c r="AM585"/>
      <c r="AO585"/>
    </row>
    <row r="586" spans="13:41">
      <c r="M586"/>
      <c r="R586"/>
      <c r="V586"/>
      <c r="Y586"/>
      <c r="AD586"/>
      <c r="AM586"/>
      <c r="AO586"/>
    </row>
    <row r="587" spans="13:41">
      <c r="M587"/>
      <c r="R587"/>
      <c r="V587"/>
      <c r="Y587"/>
      <c r="AD587"/>
      <c r="AM587"/>
      <c r="AO587"/>
    </row>
    <row r="588" spans="13:41">
      <c r="M588"/>
      <c r="R588"/>
      <c r="V588"/>
      <c r="Y588"/>
      <c r="AD588"/>
      <c r="AM588"/>
      <c r="AO588"/>
    </row>
    <row r="589" spans="13:41">
      <c r="M589"/>
      <c r="R589"/>
      <c r="V589"/>
      <c r="Y589"/>
      <c r="AD589"/>
      <c r="AM589"/>
      <c r="AO589"/>
    </row>
    <row r="590" spans="13:41">
      <c r="M590"/>
      <c r="R590"/>
      <c r="V590"/>
      <c r="Y590"/>
      <c r="AD590"/>
      <c r="AM590"/>
      <c r="AO590"/>
    </row>
    <row r="591" spans="13:41">
      <c r="M591"/>
      <c r="R591"/>
      <c r="V591"/>
      <c r="Y591"/>
      <c r="AD591"/>
      <c r="AM591"/>
      <c r="AO591"/>
    </row>
    <row r="592" spans="13:41">
      <c r="M592"/>
      <c r="R592"/>
      <c r="V592"/>
      <c r="Y592"/>
      <c r="AD592"/>
      <c r="AM592"/>
      <c r="AO592"/>
    </row>
    <row r="593" spans="13:41">
      <c r="M593"/>
      <c r="R593"/>
      <c r="V593"/>
      <c r="Y593"/>
      <c r="AD593"/>
      <c r="AM593"/>
      <c r="AO593"/>
    </row>
    <row r="594" spans="13:41">
      <c r="M594"/>
      <c r="R594"/>
      <c r="V594"/>
      <c r="Y594"/>
      <c r="AD594"/>
      <c r="AM594"/>
      <c r="AO594"/>
    </row>
    <row r="595" spans="13:41">
      <c r="M595"/>
      <c r="R595"/>
      <c r="V595"/>
      <c r="Y595"/>
      <c r="AD595"/>
      <c r="AM595"/>
      <c r="AO595"/>
    </row>
    <row r="596" spans="13:41">
      <c r="M596"/>
      <c r="R596"/>
      <c r="V596"/>
      <c r="Y596"/>
      <c r="AD596"/>
      <c r="AM596"/>
      <c r="AO596"/>
    </row>
    <row r="597" spans="13:41">
      <c r="M597"/>
      <c r="R597"/>
      <c r="V597"/>
      <c r="Y597"/>
      <c r="AD597"/>
      <c r="AM597"/>
      <c r="AO597"/>
    </row>
    <row r="598" spans="13:41">
      <c r="M598"/>
      <c r="R598"/>
      <c r="V598"/>
      <c r="Y598"/>
      <c r="AD598"/>
      <c r="AM598"/>
      <c r="AO598"/>
    </row>
    <row r="599" spans="13:41">
      <c r="M599"/>
      <c r="R599"/>
      <c r="V599"/>
      <c r="Y599"/>
      <c r="AD599"/>
      <c r="AM599"/>
      <c r="AO599"/>
    </row>
    <row r="600" spans="13:41">
      <c r="M600"/>
      <c r="R600"/>
      <c r="V600"/>
      <c r="Y600"/>
      <c r="AD600"/>
      <c r="AM600"/>
      <c r="AO600"/>
    </row>
    <row r="601" spans="13:41">
      <c r="M601"/>
      <c r="R601"/>
      <c r="V601"/>
      <c r="Y601"/>
      <c r="AD601"/>
      <c r="AM601"/>
      <c r="AO601"/>
    </row>
    <row r="602" spans="13:41">
      <c r="M602"/>
      <c r="R602"/>
      <c r="V602"/>
      <c r="Y602"/>
      <c r="AD602"/>
      <c r="AM602"/>
      <c r="AO602"/>
    </row>
    <row r="603" spans="13:41">
      <c r="M603"/>
      <c r="R603"/>
      <c r="V603"/>
      <c r="Y603"/>
      <c r="AD603"/>
      <c r="AM603"/>
      <c r="AO603"/>
    </row>
    <row r="604" spans="13:41">
      <c r="M604"/>
      <c r="R604"/>
      <c r="V604"/>
      <c r="Y604"/>
      <c r="AD604"/>
      <c r="AM604"/>
      <c r="AO604"/>
    </row>
    <row r="605" spans="13:41">
      <c r="M605"/>
      <c r="R605"/>
      <c r="V605"/>
      <c r="Y605"/>
      <c r="AD605"/>
      <c r="AM605"/>
      <c r="AO605"/>
    </row>
    <row r="606" spans="13:41">
      <c r="M606"/>
      <c r="R606"/>
      <c r="V606"/>
      <c r="Y606"/>
      <c r="AD606"/>
      <c r="AM606"/>
      <c r="AO606"/>
    </row>
    <row r="607" spans="13:41">
      <c r="M607"/>
      <c r="R607"/>
      <c r="V607"/>
      <c r="Y607"/>
      <c r="AD607"/>
      <c r="AM607"/>
      <c r="AO607"/>
    </row>
    <row r="608" spans="13:41">
      <c r="M608"/>
      <c r="R608"/>
      <c r="V608"/>
      <c r="Y608"/>
      <c r="AD608"/>
      <c r="AM608"/>
      <c r="AO608"/>
    </row>
    <row r="609" spans="13:41">
      <c r="M609"/>
      <c r="R609"/>
      <c r="V609"/>
      <c r="Y609"/>
      <c r="AD609"/>
      <c r="AM609"/>
      <c r="AO609"/>
    </row>
    <row r="610" spans="13:41">
      <c r="M610"/>
      <c r="R610"/>
      <c r="V610"/>
      <c r="Y610"/>
      <c r="AD610"/>
      <c r="AM610"/>
      <c r="AO610"/>
    </row>
    <row r="611" spans="13:41">
      <c r="M611"/>
      <c r="R611"/>
      <c r="V611"/>
      <c r="Y611"/>
      <c r="AD611"/>
      <c r="AM611"/>
      <c r="AO611"/>
    </row>
    <row r="612" spans="13:41">
      <c r="M612"/>
      <c r="R612"/>
      <c r="V612"/>
      <c r="Y612"/>
      <c r="AD612"/>
      <c r="AM612"/>
      <c r="AO612"/>
    </row>
    <row r="613" spans="13:41">
      <c r="M613"/>
      <c r="R613"/>
      <c r="V613"/>
      <c r="Y613"/>
      <c r="AD613"/>
      <c r="AM613"/>
      <c r="AO613"/>
    </row>
    <row r="614" spans="13:41">
      <c r="M614"/>
      <c r="R614"/>
      <c r="V614"/>
      <c r="Y614"/>
      <c r="AD614"/>
      <c r="AM614"/>
      <c r="AO614"/>
    </row>
    <row r="615" spans="13:41">
      <c r="M615"/>
      <c r="R615"/>
      <c r="V615"/>
      <c r="Y615"/>
      <c r="AD615"/>
      <c r="AM615"/>
      <c r="AO615"/>
    </row>
    <row r="616" spans="13:41">
      <c r="M616"/>
      <c r="R616"/>
      <c r="V616"/>
      <c r="Y616"/>
      <c r="AD616"/>
      <c r="AM616"/>
      <c r="AO616"/>
    </row>
    <row r="617" spans="13:41">
      <c r="M617"/>
      <c r="R617"/>
      <c r="V617"/>
      <c r="Y617"/>
      <c r="AD617"/>
      <c r="AM617"/>
      <c r="AO617"/>
    </row>
    <row r="618" spans="13:41">
      <c r="M618"/>
      <c r="R618"/>
      <c r="V618"/>
      <c r="Y618"/>
      <c r="AD618"/>
      <c r="AM618"/>
      <c r="AO618"/>
    </row>
    <row r="619" spans="13:41">
      <c r="M619"/>
      <c r="R619"/>
      <c r="V619"/>
      <c r="Y619"/>
      <c r="AD619"/>
      <c r="AM619"/>
      <c r="AO619"/>
    </row>
    <row r="620" spans="13:41">
      <c r="M620"/>
      <c r="R620"/>
      <c r="V620"/>
      <c r="Y620"/>
      <c r="AD620"/>
      <c r="AM620"/>
      <c r="AO620"/>
    </row>
    <row r="621" spans="13:41">
      <c r="M621"/>
      <c r="R621"/>
      <c r="V621"/>
      <c r="Y621"/>
      <c r="AD621"/>
      <c r="AM621"/>
      <c r="AO621"/>
    </row>
    <row r="622" spans="13:41">
      <c r="M622"/>
      <c r="R622"/>
      <c r="V622"/>
      <c r="Y622"/>
      <c r="AD622"/>
      <c r="AM622"/>
      <c r="AO622"/>
    </row>
    <row r="623" spans="13:41">
      <c r="M623"/>
      <c r="R623"/>
      <c r="V623"/>
      <c r="Y623"/>
      <c r="AD623"/>
      <c r="AM623"/>
      <c r="AO623"/>
    </row>
    <row r="624" spans="13:41">
      <c r="M624"/>
      <c r="R624"/>
      <c r="V624"/>
      <c r="Y624"/>
      <c r="AD624"/>
      <c r="AM624"/>
      <c r="AO624"/>
    </row>
    <row r="625" spans="13:41">
      <c r="M625"/>
      <c r="R625"/>
      <c r="V625"/>
      <c r="Y625"/>
      <c r="AD625"/>
      <c r="AM625"/>
      <c r="AO625"/>
    </row>
    <row r="626" spans="13:41">
      <c r="M626"/>
      <c r="R626"/>
      <c r="V626"/>
      <c r="Y626"/>
      <c r="AD626"/>
      <c r="AM626"/>
      <c r="AO626"/>
    </row>
    <row r="627" spans="13:41">
      <c r="M627"/>
      <c r="R627"/>
      <c r="V627"/>
      <c r="Y627"/>
      <c r="AD627"/>
      <c r="AM627"/>
      <c r="AO627"/>
    </row>
    <row r="628" spans="13:41">
      <c r="M628"/>
      <c r="R628"/>
      <c r="V628"/>
      <c r="Y628"/>
      <c r="AD628"/>
      <c r="AM628"/>
      <c r="AO628"/>
    </row>
    <row r="629" spans="13:41">
      <c r="M629"/>
      <c r="R629"/>
      <c r="V629"/>
      <c r="Y629"/>
      <c r="AD629"/>
      <c r="AM629"/>
      <c r="AO629"/>
    </row>
    <row r="630" spans="13:41">
      <c r="M630"/>
      <c r="R630"/>
      <c r="V630"/>
      <c r="Y630"/>
      <c r="AD630"/>
      <c r="AM630"/>
      <c r="AO630"/>
    </row>
    <row r="631" spans="13:41">
      <c r="M631"/>
      <c r="R631"/>
      <c r="V631"/>
      <c r="Y631"/>
      <c r="AD631"/>
      <c r="AM631"/>
      <c r="AO631"/>
    </row>
    <row r="632" spans="13:41">
      <c r="M632"/>
      <c r="R632"/>
      <c r="V632"/>
      <c r="Y632"/>
      <c r="AD632"/>
      <c r="AM632"/>
      <c r="AO632"/>
    </row>
    <row r="633" spans="13:41">
      <c r="M633"/>
      <c r="R633"/>
      <c r="V633"/>
      <c r="Y633"/>
      <c r="AD633"/>
      <c r="AM633"/>
      <c r="AO633"/>
    </row>
    <row r="634" spans="13:41">
      <c r="M634"/>
      <c r="R634"/>
      <c r="V634"/>
      <c r="Y634"/>
      <c r="AD634"/>
      <c r="AM634"/>
      <c r="AO634"/>
    </row>
    <row r="635" spans="13:41">
      <c r="M635"/>
      <c r="R635"/>
      <c r="V635"/>
      <c r="Y635"/>
      <c r="AD635"/>
      <c r="AM635"/>
      <c r="AO635"/>
    </row>
    <row r="636" spans="13:41">
      <c r="M636"/>
      <c r="R636"/>
      <c r="V636"/>
      <c r="Y636"/>
      <c r="AD636"/>
      <c r="AM636"/>
      <c r="AO636"/>
    </row>
    <row r="637" spans="13:41">
      <c r="M637"/>
      <c r="R637"/>
      <c r="V637"/>
      <c r="Y637"/>
      <c r="AD637"/>
      <c r="AM637"/>
      <c r="AO637"/>
    </row>
    <row r="638" spans="13:41">
      <c r="M638"/>
      <c r="R638"/>
      <c r="V638"/>
      <c r="Y638"/>
      <c r="AD638"/>
      <c r="AM638"/>
      <c r="AO638"/>
    </row>
    <row r="639" spans="13:41">
      <c r="M639"/>
      <c r="R639"/>
      <c r="V639"/>
      <c r="Y639"/>
      <c r="AD639"/>
      <c r="AM639"/>
      <c r="AO639"/>
    </row>
    <row r="640" spans="13:41">
      <c r="M640"/>
      <c r="R640"/>
      <c r="V640"/>
      <c r="Y640"/>
      <c r="AD640"/>
      <c r="AM640"/>
      <c r="AO640"/>
    </row>
    <row r="641" spans="13:41">
      <c r="M641"/>
      <c r="R641"/>
      <c r="V641"/>
      <c r="Y641"/>
      <c r="AD641"/>
      <c r="AM641"/>
      <c r="AO641"/>
    </row>
    <row r="642" spans="13:41">
      <c r="M642"/>
      <c r="R642"/>
      <c r="V642"/>
      <c r="Y642"/>
      <c r="AD642"/>
      <c r="AM642"/>
      <c r="AO642"/>
    </row>
    <row r="643" spans="13:41">
      <c r="M643"/>
      <c r="R643"/>
      <c r="V643"/>
      <c r="Y643"/>
      <c r="AD643"/>
      <c r="AM643"/>
      <c r="AO643"/>
    </row>
    <row r="644" spans="13:41">
      <c r="M644"/>
      <c r="R644"/>
      <c r="V644"/>
      <c r="Y644"/>
      <c r="AD644"/>
      <c r="AM644"/>
      <c r="AO644"/>
    </row>
    <row r="645" spans="13:41">
      <c r="M645"/>
      <c r="R645"/>
      <c r="V645"/>
      <c r="Y645"/>
      <c r="AD645"/>
      <c r="AM645"/>
      <c r="AO645"/>
    </row>
    <row r="646" spans="13:41">
      <c r="M646"/>
      <c r="R646"/>
      <c r="V646"/>
      <c r="Y646"/>
      <c r="AD646"/>
      <c r="AM646"/>
      <c r="AO646"/>
    </row>
    <row r="647" spans="13:41">
      <c r="M647"/>
      <c r="R647"/>
      <c r="V647"/>
      <c r="Y647"/>
      <c r="AD647"/>
      <c r="AM647"/>
      <c r="AO647"/>
    </row>
    <row r="648" spans="13:41">
      <c r="M648"/>
      <c r="R648"/>
      <c r="V648"/>
      <c r="Y648"/>
      <c r="AD648"/>
      <c r="AM648"/>
      <c r="AO648"/>
    </row>
    <row r="649" spans="13:41">
      <c r="M649"/>
      <c r="R649"/>
      <c r="V649"/>
      <c r="Y649"/>
      <c r="AD649"/>
      <c r="AM649"/>
      <c r="AO649"/>
    </row>
    <row r="650" spans="13:41">
      <c r="M650"/>
      <c r="R650"/>
      <c r="V650"/>
      <c r="Y650"/>
      <c r="AD650"/>
      <c r="AM650"/>
      <c r="AO650"/>
    </row>
    <row r="651" spans="13:41">
      <c r="M651"/>
      <c r="R651"/>
      <c r="V651"/>
      <c r="Y651"/>
      <c r="AD651"/>
      <c r="AM651"/>
      <c r="AO651"/>
    </row>
    <row r="652" spans="13:41">
      <c r="M652"/>
      <c r="R652"/>
      <c r="V652"/>
      <c r="Y652"/>
      <c r="AD652"/>
      <c r="AM652"/>
      <c r="AO652"/>
    </row>
    <row r="653" spans="13:41">
      <c r="M653"/>
      <c r="R653"/>
      <c r="V653"/>
      <c r="Y653"/>
      <c r="AD653"/>
      <c r="AM653"/>
      <c r="AO653"/>
    </row>
    <row r="654" spans="13:41">
      <c r="M654"/>
      <c r="R654"/>
      <c r="V654"/>
      <c r="Y654"/>
      <c r="AD654"/>
      <c r="AM654"/>
      <c r="AO654"/>
    </row>
    <row r="655" spans="13:41">
      <c r="M655"/>
      <c r="R655"/>
      <c r="V655"/>
      <c r="Y655"/>
      <c r="AD655"/>
      <c r="AM655"/>
      <c r="AO655"/>
    </row>
    <row r="656" spans="13:41">
      <c r="M656"/>
      <c r="R656"/>
      <c r="V656"/>
      <c r="Y656"/>
      <c r="AD656"/>
      <c r="AM656"/>
      <c r="AO656"/>
    </row>
    <row r="657" spans="13:41">
      <c r="M657"/>
      <c r="R657"/>
      <c r="V657"/>
      <c r="Y657"/>
      <c r="AD657"/>
      <c r="AM657"/>
      <c r="AO657"/>
    </row>
    <row r="658" spans="13:41">
      <c r="M658"/>
      <c r="R658"/>
      <c r="V658"/>
      <c r="Y658"/>
      <c r="AD658"/>
      <c r="AM658"/>
      <c r="AO658"/>
    </row>
    <row r="659" spans="13:41">
      <c r="M659"/>
      <c r="R659"/>
      <c r="V659"/>
      <c r="Y659"/>
      <c r="AD659"/>
      <c r="AM659"/>
      <c r="AO659"/>
    </row>
    <row r="660" spans="13:41">
      <c r="M660"/>
      <c r="R660"/>
      <c r="V660"/>
      <c r="Y660"/>
      <c r="AD660"/>
      <c r="AM660"/>
      <c r="AO660"/>
    </row>
    <row r="661" spans="13:41">
      <c r="M661"/>
      <c r="R661"/>
      <c r="V661"/>
      <c r="Y661"/>
      <c r="AD661"/>
      <c r="AM661"/>
      <c r="AO661"/>
    </row>
    <row r="662" spans="13:41">
      <c r="M662"/>
      <c r="R662"/>
      <c r="V662"/>
      <c r="Y662"/>
      <c r="AD662"/>
      <c r="AM662"/>
      <c r="AO662"/>
    </row>
    <row r="663" spans="13:41">
      <c r="M663"/>
      <c r="R663"/>
      <c r="V663"/>
      <c r="Y663"/>
      <c r="AD663"/>
      <c r="AM663"/>
      <c r="AO663"/>
    </row>
    <row r="664" spans="13:41">
      <c r="M664"/>
      <c r="R664"/>
      <c r="V664"/>
      <c r="Y664"/>
      <c r="AD664"/>
      <c r="AM664"/>
      <c r="AO664"/>
    </row>
    <row r="665" spans="13:41">
      <c r="M665"/>
      <c r="R665"/>
      <c r="V665"/>
      <c r="Y665"/>
      <c r="AD665"/>
      <c r="AM665"/>
      <c r="AO665"/>
    </row>
    <row r="666" spans="13:41">
      <c r="M666"/>
      <c r="R666"/>
      <c r="V666"/>
      <c r="Y666"/>
      <c r="AD666"/>
      <c r="AM666"/>
      <c r="AO666"/>
    </row>
    <row r="667" spans="13:41">
      <c r="M667"/>
      <c r="R667"/>
      <c r="V667"/>
      <c r="Y667"/>
      <c r="AD667"/>
      <c r="AM667"/>
      <c r="AO667"/>
    </row>
    <row r="668" spans="13:41">
      <c r="M668"/>
      <c r="R668"/>
      <c r="V668"/>
      <c r="Y668"/>
      <c r="AD668"/>
      <c r="AM668"/>
      <c r="AO668"/>
    </row>
    <row r="669" spans="13:41">
      <c r="M669"/>
      <c r="R669"/>
      <c r="V669"/>
      <c r="Y669"/>
      <c r="AD669"/>
      <c r="AM669"/>
      <c r="AO669"/>
    </row>
    <row r="670" spans="13:41">
      <c r="M670"/>
      <c r="R670"/>
      <c r="V670"/>
      <c r="Y670"/>
      <c r="AD670"/>
      <c r="AM670"/>
      <c r="AO670"/>
    </row>
    <row r="671" spans="13:41">
      <c r="M671"/>
      <c r="R671"/>
      <c r="V671"/>
      <c r="Y671"/>
      <c r="AD671"/>
      <c r="AM671"/>
      <c r="AO671"/>
    </row>
    <row r="672" spans="13:41">
      <c r="M672"/>
      <c r="R672"/>
      <c r="V672"/>
      <c r="Y672"/>
      <c r="AD672"/>
      <c r="AM672"/>
      <c r="AO672"/>
    </row>
    <row r="673" spans="13:41">
      <c r="M673"/>
      <c r="R673"/>
      <c r="V673"/>
      <c r="Y673"/>
      <c r="AD673"/>
      <c r="AM673"/>
      <c r="AO673"/>
    </row>
    <row r="674" spans="13:41">
      <c r="M674"/>
      <c r="R674"/>
      <c r="V674"/>
      <c r="Y674"/>
      <c r="AD674"/>
      <c r="AM674"/>
      <c r="AO674"/>
    </row>
    <row r="675" spans="13:41">
      <c r="M675"/>
      <c r="R675"/>
      <c r="V675"/>
      <c r="Y675"/>
      <c r="AD675"/>
      <c r="AM675"/>
      <c r="AO675"/>
    </row>
    <row r="676" spans="13:41">
      <c r="M676"/>
      <c r="R676"/>
      <c r="V676"/>
      <c r="Y676"/>
      <c r="AD676"/>
      <c r="AM676"/>
      <c r="AO676"/>
    </row>
    <row r="677" spans="13:41">
      <c r="M677"/>
      <c r="R677"/>
      <c r="V677"/>
      <c r="Y677"/>
      <c r="AD677"/>
      <c r="AM677"/>
      <c r="AO677"/>
    </row>
    <row r="678" spans="13:41">
      <c r="M678"/>
      <c r="R678"/>
      <c r="V678"/>
      <c r="Y678"/>
      <c r="AD678"/>
      <c r="AM678"/>
      <c r="AO678"/>
    </row>
    <row r="679" spans="13:41">
      <c r="M679"/>
      <c r="R679"/>
      <c r="V679"/>
      <c r="Y679"/>
      <c r="AD679"/>
      <c r="AM679"/>
      <c r="AO679"/>
    </row>
    <row r="680" spans="13:41">
      <c r="M680"/>
      <c r="R680"/>
      <c r="V680"/>
      <c r="Y680"/>
      <c r="AD680"/>
      <c r="AM680"/>
      <c r="AO680"/>
    </row>
    <row r="681" spans="13:41">
      <c r="M681"/>
      <c r="R681"/>
      <c r="V681"/>
      <c r="Y681"/>
      <c r="AD681"/>
      <c r="AM681"/>
      <c r="AO681"/>
    </row>
    <row r="682" spans="13:41">
      <c r="M682"/>
      <c r="R682"/>
      <c r="V682"/>
      <c r="Y682"/>
      <c r="AD682"/>
      <c r="AM682"/>
      <c r="AO682"/>
    </row>
    <row r="683" spans="13:41">
      <c r="M683"/>
      <c r="R683"/>
      <c r="V683"/>
      <c r="Y683"/>
      <c r="AD683"/>
      <c r="AM683"/>
      <c r="AO683"/>
    </row>
    <row r="684" spans="13:41">
      <c r="M684"/>
      <c r="R684"/>
      <c r="V684"/>
      <c r="Y684"/>
      <c r="AD684"/>
      <c r="AM684"/>
      <c r="AO684"/>
    </row>
    <row r="685" spans="13:41">
      <c r="M685"/>
      <c r="R685"/>
      <c r="V685"/>
      <c r="Y685"/>
      <c r="AD685"/>
      <c r="AM685"/>
      <c r="AO685"/>
    </row>
    <row r="686" spans="13:41">
      <c r="M686"/>
      <c r="R686"/>
      <c r="V686"/>
      <c r="Y686"/>
      <c r="AD686"/>
      <c r="AM686"/>
      <c r="AO686"/>
    </row>
    <row r="687" spans="13:41">
      <c r="M687"/>
      <c r="R687"/>
      <c r="V687"/>
      <c r="Y687"/>
      <c r="AD687"/>
      <c r="AM687"/>
      <c r="AO687"/>
    </row>
    <row r="688" spans="13:41">
      <c r="M688"/>
      <c r="R688"/>
      <c r="V688"/>
      <c r="Y688"/>
      <c r="AD688"/>
      <c r="AM688"/>
      <c r="AO688"/>
    </row>
    <row r="689" spans="13:41">
      <c r="M689"/>
      <c r="R689"/>
      <c r="V689"/>
      <c r="Y689"/>
      <c r="AD689"/>
      <c r="AM689"/>
      <c r="AO689"/>
    </row>
    <row r="690" spans="13:41">
      <c r="M690"/>
      <c r="R690"/>
      <c r="V690"/>
      <c r="Y690"/>
      <c r="AD690"/>
      <c r="AM690"/>
      <c r="AO690"/>
    </row>
    <row r="691" spans="13:41">
      <c r="M691"/>
      <c r="R691"/>
      <c r="V691"/>
      <c r="Y691"/>
      <c r="AD691"/>
      <c r="AM691"/>
      <c r="AO691"/>
    </row>
    <row r="692" spans="13:41">
      <c r="M692"/>
      <c r="R692"/>
      <c r="V692"/>
      <c r="Y692"/>
      <c r="AD692"/>
      <c r="AM692"/>
      <c r="AO692"/>
    </row>
    <row r="693" spans="13:41">
      <c r="M693"/>
      <c r="R693"/>
      <c r="V693"/>
      <c r="Y693"/>
      <c r="AD693"/>
      <c r="AM693"/>
      <c r="AO693"/>
    </row>
    <row r="694" spans="13:41">
      <c r="M694"/>
      <c r="R694"/>
      <c r="V694"/>
      <c r="Y694"/>
      <c r="AD694"/>
      <c r="AM694"/>
      <c r="AO694"/>
    </row>
    <row r="695" spans="13:41">
      <c r="M695"/>
      <c r="R695"/>
      <c r="V695"/>
      <c r="Y695"/>
      <c r="AD695"/>
      <c r="AM695"/>
      <c r="AO695"/>
    </row>
    <row r="696" spans="13:41">
      <c r="M696"/>
      <c r="R696"/>
      <c r="V696"/>
      <c r="Y696"/>
      <c r="AD696"/>
      <c r="AM696"/>
      <c r="AO696"/>
    </row>
    <row r="697" spans="13:41">
      <c r="M697"/>
      <c r="R697"/>
      <c r="V697"/>
      <c r="Y697"/>
      <c r="AD697"/>
      <c r="AM697"/>
      <c r="AO697"/>
    </row>
    <row r="698" spans="13:41">
      <c r="M698"/>
      <c r="R698"/>
      <c r="V698"/>
      <c r="Y698"/>
      <c r="AD698"/>
      <c r="AM698"/>
      <c r="AO698"/>
    </row>
    <row r="699" spans="13:41">
      <c r="M699"/>
      <c r="R699"/>
      <c r="V699"/>
      <c r="Y699"/>
      <c r="AD699"/>
      <c r="AM699"/>
      <c r="AO699"/>
    </row>
    <row r="700" spans="13:41">
      <c r="M700"/>
      <c r="R700"/>
      <c r="V700"/>
      <c r="Y700"/>
      <c r="AD700"/>
      <c r="AM700"/>
      <c r="AO700"/>
    </row>
    <row r="701" spans="13:41">
      <c r="M701"/>
      <c r="R701"/>
      <c r="V701"/>
      <c r="Y701"/>
      <c r="AD701"/>
      <c r="AM701"/>
      <c r="AO701"/>
    </row>
    <row r="702" spans="13:41">
      <c r="M702"/>
      <c r="R702"/>
      <c r="V702"/>
      <c r="Y702"/>
      <c r="AD702"/>
      <c r="AM702"/>
      <c r="AO702"/>
    </row>
    <row r="703" spans="13:41">
      <c r="M703"/>
      <c r="R703"/>
      <c r="V703"/>
      <c r="Y703"/>
      <c r="AD703"/>
      <c r="AM703"/>
      <c r="AO703"/>
    </row>
    <row r="704" spans="13:41">
      <c r="M704"/>
      <c r="R704"/>
      <c r="V704"/>
      <c r="Y704"/>
      <c r="AD704"/>
      <c r="AM704"/>
      <c r="AO704"/>
    </row>
    <row r="705" spans="13:41">
      <c r="M705"/>
      <c r="R705"/>
      <c r="V705"/>
      <c r="Y705"/>
      <c r="AD705"/>
      <c r="AM705"/>
      <c r="AO705"/>
    </row>
    <row r="706" spans="13:41">
      <c r="M706"/>
      <c r="R706"/>
      <c r="V706"/>
      <c r="Y706"/>
      <c r="AD706"/>
      <c r="AM706"/>
      <c r="AO706"/>
    </row>
    <row r="707" spans="13:41">
      <c r="M707"/>
      <c r="R707"/>
      <c r="V707"/>
      <c r="Y707"/>
      <c r="AD707"/>
      <c r="AM707"/>
      <c r="AO707"/>
    </row>
    <row r="708" spans="13:41">
      <c r="M708"/>
      <c r="R708"/>
      <c r="V708"/>
      <c r="Y708"/>
      <c r="AD708"/>
      <c r="AM708"/>
      <c r="AO708"/>
    </row>
    <row r="709" spans="13:41">
      <c r="M709"/>
      <c r="R709"/>
      <c r="V709"/>
      <c r="Y709"/>
      <c r="AD709"/>
      <c r="AM709"/>
      <c r="AO709"/>
    </row>
    <row r="710" spans="13:41">
      <c r="M710"/>
      <c r="R710"/>
      <c r="V710"/>
      <c r="Y710"/>
      <c r="AD710"/>
      <c r="AM710"/>
      <c r="AO710"/>
    </row>
    <row r="711" spans="13:41">
      <c r="M711"/>
      <c r="R711"/>
      <c r="V711"/>
      <c r="Y711"/>
      <c r="AD711"/>
      <c r="AM711"/>
      <c r="AO711"/>
    </row>
    <row r="712" spans="13:41">
      <c r="M712"/>
      <c r="R712"/>
      <c r="V712"/>
      <c r="Y712"/>
      <c r="AD712"/>
      <c r="AM712"/>
      <c r="AO712"/>
    </row>
    <row r="713" spans="13:41">
      <c r="M713"/>
      <c r="R713"/>
      <c r="V713"/>
      <c r="Y713"/>
      <c r="AD713"/>
      <c r="AM713"/>
      <c r="AO713"/>
    </row>
    <row r="714" spans="13:41">
      <c r="M714"/>
      <c r="R714"/>
      <c r="V714"/>
      <c r="Y714"/>
      <c r="AD714"/>
      <c r="AM714"/>
      <c r="AO714"/>
    </row>
    <row r="715" spans="13:41">
      <c r="M715"/>
      <c r="R715"/>
      <c r="V715"/>
      <c r="Y715"/>
      <c r="AD715"/>
      <c r="AM715"/>
      <c r="AO715"/>
    </row>
    <row r="716" spans="13:41">
      <c r="M716"/>
      <c r="R716"/>
      <c r="V716"/>
      <c r="Y716"/>
      <c r="AD716"/>
      <c r="AM716"/>
      <c r="AO716"/>
    </row>
    <row r="717" spans="13:41">
      <c r="M717"/>
      <c r="R717"/>
      <c r="V717"/>
      <c r="Y717"/>
      <c r="AD717"/>
      <c r="AM717"/>
      <c r="AO717"/>
    </row>
    <row r="718" spans="13:41">
      <c r="M718"/>
      <c r="R718"/>
      <c r="V718"/>
      <c r="Y718"/>
      <c r="AD718"/>
      <c r="AM718"/>
      <c r="AO718"/>
    </row>
    <row r="719" spans="13:41">
      <c r="M719"/>
      <c r="R719"/>
      <c r="V719"/>
      <c r="Y719"/>
      <c r="AD719"/>
      <c r="AM719"/>
      <c r="AO719"/>
    </row>
    <row r="720" spans="13:41">
      <c r="M720"/>
      <c r="R720"/>
      <c r="V720"/>
      <c r="Y720"/>
      <c r="AD720"/>
      <c r="AM720"/>
      <c r="AO720"/>
    </row>
    <row r="721" spans="13:41">
      <c r="M721"/>
      <c r="R721"/>
      <c r="V721"/>
      <c r="Y721"/>
      <c r="AD721"/>
      <c r="AM721"/>
      <c r="AO721"/>
    </row>
    <row r="722" spans="13:41">
      <c r="M722"/>
      <c r="R722"/>
      <c r="V722"/>
      <c r="Y722"/>
      <c r="AD722"/>
      <c r="AM722"/>
      <c r="AO722"/>
    </row>
    <row r="723" spans="13:41">
      <c r="M723"/>
      <c r="R723"/>
      <c r="V723"/>
      <c r="Y723"/>
      <c r="AD723"/>
      <c r="AM723"/>
      <c r="AO723"/>
    </row>
    <row r="724" spans="13:41">
      <c r="M724"/>
      <c r="R724"/>
      <c r="V724"/>
      <c r="Y724"/>
      <c r="AD724"/>
      <c r="AM724"/>
      <c r="AO724"/>
    </row>
    <row r="725" spans="13:41">
      <c r="M725"/>
      <c r="R725"/>
      <c r="V725"/>
      <c r="Y725"/>
      <c r="AD725"/>
      <c r="AM725"/>
      <c r="AO725"/>
    </row>
    <row r="726" spans="13:41">
      <c r="M726"/>
      <c r="R726"/>
      <c r="V726"/>
      <c r="Y726"/>
      <c r="AD726"/>
      <c r="AM726"/>
      <c r="AO726"/>
    </row>
    <row r="727" spans="13:41">
      <c r="M727"/>
      <c r="R727"/>
      <c r="V727"/>
      <c r="Y727"/>
      <c r="AD727"/>
      <c r="AM727"/>
      <c r="AO727"/>
    </row>
    <row r="728" spans="13:41">
      <c r="M728"/>
      <c r="R728"/>
      <c r="V728"/>
      <c r="Y728"/>
      <c r="AD728"/>
      <c r="AM728"/>
      <c r="AO728"/>
    </row>
    <row r="729" spans="13:41">
      <c r="M729"/>
      <c r="R729"/>
      <c r="V729"/>
      <c r="Y729"/>
      <c r="AD729"/>
      <c r="AM729"/>
      <c r="AO729"/>
    </row>
    <row r="730" spans="13:41">
      <c r="M730"/>
      <c r="R730"/>
      <c r="V730"/>
      <c r="Y730"/>
      <c r="AD730"/>
      <c r="AM730"/>
      <c r="AO730"/>
    </row>
    <row r="731" spans="13:41">
      <c r="M731"/>
      <c r="R731"/>
      <c r="V731"/>
      <c r="Y731"/>
      <c r="AD731"/>
      <c r="AM731"/>
      <c r="AO731"/>
    </row>
    <row r="732" spans="13:41">
      <c r="M732"/>
      <c r="R732"/>
      <c r="V732"/>
      <c r="Y732"/>
      <c r="AD732"/>
      <c r="AM732"/>
      <c r="AO732"/>
    </row>
    <row r="733" spans="13:41">
      <c r="M733"/>
      <c r="R733"/>
      <c r="V733"/>
      <c r="Y733"/>
      <c r="AD733"/>
      <c r="AM733"/>
      <c r="AO733"/>
    </row>
    <row r="734" spans="13:41">
      <c r="M734"/>
      <c r="R734"/>
      <c r="V734"/>
      <c r="Y734"/>
      <c r="AD734"/>
      <c r="AM734"/>
      <c r="AO734"/>
    </row>
    <row r="735" spans="13:41">
      <c r="M735"/>
      <c r="R735"/>
      <c r="V735"/>
      <c r="Y735"/>
      <c r="AD735"/>
      <c r="AM735"/>
      <c r="AO735"/>
    </row>
    <row r="736" spans="13:41">
      <c r="M736"/>
      <c r="R736"/>
      <c r="V736"/>
      <c r="Y736"/>
      <c r="AD736"/>
      <c r="AM736"/>
      <c r="AO736"/>
    </row>
    <row r="737" spans="13:41">
      <c r="M737"/>
      <c r="R737"/>
      <c r="V737"/>
      <c r="Y737"/>
      <c r="AD737"/>
      <c r="AM737"/>
      <c r="AO737"/>
    </row>
    <row r="738" spans="13:41">
      <c r="M738"/>
      <c r="R738"/>
      <c r="V738"/>
      <c r="Y738"/>
      <c r="AD738"/>
      <c r="AM738"/>
      <c r="AO738"/>
    </row>
    <row r="739" spans="13:41">
      <c r="M739"/>
      <c r="R739"/>
      <c r="V739"/>
      <c r="Y739"/>
      <c r="AD739"/>
      <c r="AM739"/>
      <c r="AO739"/>
    </row>
    <row r="740" spans="13:41">
      <c r="M740"/>
      <c r="R740"/>
      <c r="V740"/>
      <c r="Y740"/>
      <c r="AD740"/>
      <c r="AM740"/>
      <c r="AO740"/>
    </row>
    <row r="741" spans="13:41">
      <c r="M741"/>
      <c r="R741"/>
      <c r="V741"/>
      <c r="Y741"/>
      <c r="AD741"/>
      <c r="AM741"/>
      <c r="AO741"/>
    </row>
    <row r="742" spans="13:41">
      <c r="M742"/>
      <c r="R742"/>
      <c r="V742"/>
      <c r="Y742"/>
      <c r="AD742"/>
      <c r="AM742"/>
      <c r="AO742"/>
    </row>
    <row r="743" spans="13:41">
      <c r="M743"/>
      <c r="R743"/>
      <c r="V743"/>
      <c r="Y743"/>
      <c r="AD743"/>
      <c r="AM743"/>
      <c r="AO743"/>
    </row>
    <row r="744" spans="13:41">
      <c r="M744"/>
      <c r="R744"/>
      <c r="V744"/>
      <c r="Y744"/>
      <c r="AD744"/>
      <c r="AM744"/>
      <c r="AO744"/>
    </row>
    <row r="745" spans="13:41">
      <c r="M745"/>
      <c r="R745"/>
      <c r="V745"/>
      <c r="Y745"/>
      <c r="AD745"/>
      <c r="AM745"/>
      <c r="AO745"/>
    </row>
    <row r="746" spans="13:41">
      <c r="M746"/>
      <c r="R746"/>
      <c r="V746"/>
      <c r="Y746"/>
      <c r="AD746"/>
      <c r="AM746"/>
      <c r="AO746"/>
    </row>
    <row r="747" spans="13:41">
      <c r="M747"/>
      <c r="R747"/>
      <c r="V747"/>
      <c r="Y747"/>
      <c r="AD747"/>
      <c r="AM747"/>
      <c r="AO747"/>
    </row>
    <row r="748" spans="13:41">
      <c r="M748"/>
      <c r="R748"/>
      <c r="V748"/>
      <c r="Y748"/>
      <c r="AD748"/>
      <c r="AM748"/>
      <c r="AO748"/>
    </row>
    <row r="749" spans="13:41">
      <c r="M749"/>
      <c r="R749"/>
      <c r="V749"/>
      <c r="Y749"/>
      <c r="AD749"/>
      <c r="AM749"/>
      <c r="AO749"/>
    </row>
    <row r="750" spans="13:41">
      <c r="M750"/>
      <c r="R750"/>
      <c r="V750"/>
      <c r="Y750"/>
      <c r="AD750"/>
      <c r="AM750"/>
      <c r="AO750"/>
    </row>
    <row r="751" spans="13:41">
      <c r="M751"/>
      <c r="R751"/>
      <c r="V751"/>
      <c r="Y751"/>
      <c r="AD751"/>
      <c r="AM751"/>
      <c r="AO751"/>
    </row>
    <row r="752" spans="13:41">
      <c r="M752"/>
      <c r="R752"/>
      <c r="V752"/>
      <c r="Y752"/>
      <c r="AD752"/>
      <c r="AM752"/>
      <c r="AO752"/>
    </row>
    <row r="753" spans="13:41">
      <c r="M753"/>
      <c r="R753"/>
      <c r="V753"/>
      <c r="Y753"/>
      <c r="AD753"/>
      <c r="AM753"/>
      <c r="AO753"/>
    </row>
    <row r="754" spans="13:41">
      <c r="M754"/>
      <c r="R754"/>
      <c r="V754"/>
      <c r="Y754"/>
      <c r="AD754"/>
      <c r="AM754"/>
      <c r="AO754"/>
    </row>
    <row r="755" spans="13:41">
      <c r="M755"/>
      <c r="R755"/>
      <c r="V755"/>
      <c r="Y755"/>
      <c r="AD755"/>
      <c r="AM755"/>
      <c r="AO755"/>
    </row>
    <row r="756" spans="13:41">
      <c r="M756"/>
      <c r="R756"/>
      <c r="V756"/>
      <c r="Y756"/>
      <c r="AD756"/>
      <c r="AM756"/>
      <c r="AO756"/>
    </row>
    <row r="757" spans="13:41">
      <c r="M757"/>
      <c r="R757"/>
      <c r="V757"/>
      <c r="Y757"/>
      <c r="AD757"/>
      <c r="AM757"/>
      <c r="AO757"/>
    </row>
    <row r="758" spans="13:41">
      <c r="M758"/>
      <c r="R758"/>
      <c r="V758"/>
      <c r="Y758"/>
      <c r="AD758"/>
      <c r="AM758"/>
      <c r="AO758"/>
    </row>
    <row r="759" spans="13:41">
      <c r="M759"/>
      <c r="R759"/>
      <c r="V759"/>
      <c r="Y759"/>
      <c r="AD759"/>
      <c r="AM759"/>
      <c r="AO759"/>
    </row>
    <row r="760" spans="13:41">
      <c r="M760"/>
      <c r="R760"/>
      <c r="V760"/>
      <c r="Y760"/>
      <c r="AD760"/>
      <c r="AM760"/>
      <c r="AO760"/>
    </row>
    <row r="761" spans="13:41">
      <c r="M761"/>
      <c r="R761"/>
      <c r="V761"/>
      <c r="Y761"/>
      <c r="AD761"/>
      <c r="AM761"/>
      <c r="AO761"/>
    </row>
    <row r="762" spans="13:41">
      <c r="M762"/>
      <c r="R762"/>
      <c r="V762"/>
      <c r="Y762"/>
      <c r="AD762"/>
      <c r="AM762"/>
      <c r="AO762"/>
    </row>
    <row r="763" spans="13:41">
      <c r="M763"/>
      <c r="R763"/>
      <c r="V763"/>
      <c r="Y763"/>
      <c r="AD763"/>
      <c r="AM763"/>
      <c r="AO763"/>
    </row>
    <row r="764" spans="13:41">
      <c r="M764"/>
      <c r="R764"/>
      <c r="V764"/>
      <c r="Y764"/>
      <c r="AD764"/>
      <c r="AM764"/>
      <c r="AO764"/>
    </row>
    <row r="765" spans="13:41">
      <c r="M765"/>
      <c r="R765"/>
      <c r="V765"/>
      <c r="Y765"/>
      <c r="AD765"/>
      <c r="AM765"/>
      <c r="AO765"/>
    </row>
    <row r="766" spans="13:41">
      <c r="M766"/>
      <c r="R766"/>
      <c r="V766"/>
      <c r="Y766"/>
      <c r="AD766"/>
      <c r="AM766"/>
      <c r="AO766"/>
    </row>
    <row r="767" spans="13:41">
      <c r="M767"/>
      <c r="R767"/>
      <c r="V767"/>
      <c r="Y767"/>
      <c r="AD767"/>
      <c r="AM767"/>
      <c r="AO767"/>
    </row>
    <row r="768" spans="13:41">
      <c r="M768"/>
      <c r="R768"/>
      <c r="V768"/>
      <c r="Y768"/>
      <c r="AD768"/>
      <c r="AM768"/>
      <c r="AO768"/>
    </row>
    <row r="769" spans="13:41">
      <c r="M769"/>
      <c r="R769"/>
      <c r="V769"/>
      <c r="Y769"/>
      <c r="AD769"/>
      <c r="AM769"/>
      <c r="AO769"/>
    </row>
    <row r="770" spans="13:41">
      <c r="M770"/>
      <c r="R770"/>
      <c r="V770"/>
      <c r="Y770"/>
      <c r="AD770"/>
      <c r="AM770"/>
      <c r="AO770"/>
    </row>
    <row r="771" spans="13:41">
      <c r="M771"/>
      <c r="R771"/>
      <c r="V771"/>
      <c r="Y771"/>
      <c r="AD771"/>
      <c r="AM771"/>
      <c r="AO771"/>
    </row>
    <row r="772" spans="13:41">
      <c r="M772"/>
      <c r="R772"/>
      <c r="V772"/>
      <c r="Y772"/>
      <c r="AD772"/>
      <c r="AM772"/>
      <c r="AO772"/>
    </row>
    <row r="773" spans="13:41">
      <c r="M773"/>
      <c r="R773"/>
      <c r="V773"/>
      <c r="Y773"/>
      <c r="AD773"/>
      <c r="AM773"/>
      <c r="AO773"/>
    </row>
    <row r="774" spans="13:41">
      <c r="M774"/>
      <c r="R774"/>
      <c r="V774"/>
      <c r="Y774"/>
      <c r="AD774"/>
      <c r="AM774"/>
      <c r="AO774"/>
    </row>
    <row r="775" spans="13:41">
      <c r="M775"/>
      <c r="R775"/>
      <c r="V775"/>
      <c r="Y775"/>
      <c r="AD775"/>
      <c r="AM775"/>
      <c r="AO775"/>
    </row>
    <row r="776" spans="13:41">
      <c r="M776"/>
      <c r="R776"/>
      <c r="V776"/>
      <c r="Y776"/>
      <c r="AD776"/>
      <c r="AM776"/>
      <c r="AO776"/>
    </row>
    <row r="777" spans="13:41">
      <c r="M777"/>
      <c r="R777"/>
      <c r="V777"/>
      <c r="Y777"/>
      <c r="AD777"/>
      <c r="AM777"/>
      <c r="AO777"/>
    </row>
    <row r="778" spans="13:41">
      <c r="M778"/>
      <c r="R778"/>
      <c r="V778"/>
      <c r="Y778"/>
      <c r="AD778"/>
      <c r="AM778"/>
      <c r="AO778"/>
    </row>
    <row r="779" spans="13:41">
      <c r="M779"/>
      <c r="R779"/>
      <c r="V779"/>
      <c r="Y779"/>
      <c r="AD779"/>
      <c r="AM779"/>
      <c r="AO779"/>
    </row>
    <row r="780" spans="13:41">
      <c r="M780"/>
      <c r="R780"/>
      <c r="V780"/>
      <c r="Y780"/>
      <c r="AD780"/>
      <c r="AM780"/>
      <c r="AO780"/>
    </row>
    <row r="781" spans="13:41">
      <c r="M781"/>
      <c r="R781"/>
      <c r="V781"/>
      <c r="Y781"/>
      <c r="AD781"/>
      <c r="AM781"/>
      <c r="AO781"/>
    </row>
    <row r="782" spans="13:41">
      <c r="M782"/>
      <c r="R782"/>
      <c r="V782"/>
      <c r="Y782"/>
      <c r="AD782"/>
      <c r="AM782"/>
      <c r="AO782"/>
    </row>
    <row r="783" spans="13:41">
      <c r="M783"/>
      <c r="R783"/>
      <c r="V783"/>
      <c r="Y783"/>
      <c r="AD783"/>
      <c r="AM783"/>
      <c r="AO783"/>
    </row>
    <row r="784" spans="13:41">
      <c r="M784"/>
      <c r="R784"/>
      <c r="V784"/>
      <c r="Y784"/>
      <c r="AD784"/>
      <c r="AM784"/>
      <c r="AO784"/>
    </row>
    <row r="785" spans="13:41">
      <c r="M785"/>
      <c r="R785"/>
      <c r="V785"/>
      <c r="Y785"/>
      <c r="AD785"/>
      <c r="AM785"/>
      <c r="AO785"/>
    </row>
    <row r="786" spans="13:41">
      <c r="M786"/>
      <c r="R786"/>
      <c r="V786"/>
      <c r="Y786"/>
      <c r="AD786"/>
      <c r="AM786"/>
      <c r="AO786"/>
    </row>
    <row r="787" spans="13:41">
      <c r="M787"/>
      <c r="R787"/>
      <c r="V787"/>
      <c r="Y787"/>
      <c r="AD787"/>
      <c r="AM787"/>
      <c r="AO787"/>
    </row>
    <row r="788" spans="13:41">
      <c r="M788"/>
      <c r="R788"/>
      <c r="V788"/>
      <c r="Y788"/>
      <c r="AD788"/>
      <c r="AM788"/>
      <c r="AO788"/>
    </row>
    <row r="789" spans="13:41">
      <c r="M789"/>
      <c r="R789"/>
      <c r="V789"/>
      <c r="Y789"/>
      <c r="AD789"/>
      <c r="AM789"/>
      <c r="AO789"/>
    </row>
    <row r="790" spans="13:41">
      <c r="M790"/>
      <c r="R790"/>
      <c r="V790"/>
      <c r="Y790"/>
      <c r="AD790"/>
      <c r="AM790"/>
      <c r="AO790"/>
    </row>
    <row r="791" spans="13:41">
      <c r="M791"/>
      <c r="R791"/>
      <c r="V791"/>
      <c r="Y791"/>
      <c r="AD791"/>
      <c r="AM791"/>
      <c r="AO791"/>
    </row>
    <row r="792" spans="13:41">
      <c r="M792"/>
      <c r="R792"/>
      <c r="V792"/>
      <c r="Y792"/>
      <c r="AD792"/>
      <c r="AM792"/>
      <c r="AO792"/>
    </row>
    <row r="793" spans="13:41">
      <c r="M793"/>
      <c r="R793"/>
      <c r="V793"/>
      <c r="Y793"/>
      <c r="AD793"/>
      <c r="AM793"/>
      <c r="AO793"/>
    </row>
    <row r="794" spans="13:41">
      <c r="M794"/>
      <c r="R794"/>
      <c r="V794"/>
      <c r="Y794"/>
      <c r="AD794"/>
      <c r="AM794"/>
      <c r="AO794"/>
    </row>
    <row r="795" spans="13:41">
      <c r="M795"/>
      <c r="R795"/>
      <c r="V795"/>
      <c r="Y795"/>
      <c r="AD795"/>
      <c r="AM795"/>
      <c r="AO795"/>
    </row>
    <row r="796" spans="13:41">
      <c r="M796"/>
      <c r="R796"/>
      <c r="V796"/>
      <c r="Y796"/>
      <c r="AD796"/>
      <c r="AM796"/>
      <c r="AO796"/>
    </row>
    <row r="797" spans="13:41">
      <c r="M797"/>
      <c r="R797"/>
      <c r="V797"/>
      <c r="Y797"/>
      <c r="AD797"/>
      <c r="AM797"/>
      <c r="AO797"/>
    </row>
    <row r="798" spans="13:41">
      <c r="M798"/>
      <c r="R798"/>
      <c r="V798"/>
      <c r="Y798"/>
      <c r="AD798"/>
      <c r="AM798"/>
      <c r="AO798"/>
    </row>
    <row r="799" spans="13:41">
      <c r="M799"/>
      <c r="R799"/>
      <c r="V799"/>
      <c r="Y799"/>
      <c r="AD799"/>
      <c r="AM799"/>
      <c r="AO799"/>
    </row>
    <row r="800" spans="13:41">
      <c r="M800"/>
      <c r="R800"/>
      <c r="V800"/>
      <c r="Y800"/>
      <c r="AD800"/>
      <c r="AM800"/>
      <c r="AO800"/>
    </row>
    <row r="801" spans="13:41">
      <c r="M801"/>
      <c r="R801"/>
      <c r="V801"/>
      <c r="Y801"/>
      <c r="AD801"/>
      <c r="AM801"/>
      <c r="AO801"/>
    </row>
    <row r="802" spans="13:41">
      <c r="M802"/>
      <c r="R802"/>
      <c r="V802"/>
      <c r="Y802"/>
      <c r="AD802"/>
      <c r="AM802"/>
      <c r="AO802"/>
    </row>
    <row r="803" spans="13:41">
      <c r="M803"/>
      <c r="R803"/>
      <c r="V803"/>
      <c r="Y803"/>
      <c r="AD803"/>
      <c r="AM803"/>
      <c r="AO803"/>
    </row>
    <row r="804" spans="13:41">
      <c r="M804"/>
      <c r="R804"/>
      <c r="V804"/>
      <c r="Y804"/>
      <c r="AD804"/>
      <c r="AM804"/>
      <c r="AO804"/>
    </row>
    <row r="805" spans="13:41">
      <c r="M805"/>
      <c r="R805"/>
      <c r="V805"/>
      <c r="Y805"/>
      <c r="AD805"/>
      <c r="AM805"/>
      <c r="AO805"/>
    </row>
    <row r="806" spans="13:41">
      <c r="M806"/>
      <c r="R806"/>
      <c r="V806"/>
      <c r="Y806"/>
      <c r="AD806"/>
      <c r="AM806"/>
      <c r="AO806"/>
    </row>
    <row r="807" spans="13:41">
      <c r="M807"/>
      <c r="R807"/>
      <c r="V807"/>
      <c r="Y807"/>
      <c r="AD807"/>
      <c r="AM807"/>
      <c r="AO807"/>
    </row>
    <row r="808" spans="13:41">
      <c r="M808"/>
      <c r="R808"/>
      <c r="V808"/>
      <c r="Y808"/>
      <c r="AD808"/>
      <c r="AM808"/>
      <c r="AO808"/>
    </row>
    <row r="809" spans="13:41">
      <c r="M809"/>
      <c r="R809"/>
      <c r="V809"/>
      <c r="Y809"/>
      <c r="AD809"/>
      <c r="AM809"/>
      <c r="AO809"/>
    </row>
    <row r="810" spans="13:41">
      <c r="M810"/>
      <c r="R810"/>
      <c r="V810"/>
      <c r="Y810"/>
      <c r="AD810"/>
      <c r="AM810"/>
      <c r="AO810"/>
    </row>
    <row r="811" spans="13:41">
      <c r="M811"/>
      <c r="R811"/>
      <c r="V811"/>
      <c r="Y811"/>
      <c r="AD811"/>
      <c r="AM811"/>
      <c r="AO811"/>
    </row>
    <row r="812" spans="13:41">
      <c r="M812"/>
      <c r="R812"/>
      <c r="V812"/>
      <c r="Y812"/>
      <c r="AD812"/>
      <c r="AM812"/>
      <c r="AO812"/>
    </row>
    <row r="813" spans="13:41">
      <c r="M813"/>
      <c r="R813"/>
      <c r="V813"/>
      <c r="Y813"/>
      <c r="AD813"/>
      <c r="AM813"/>
      <c r="AO813"/>
    </row>
    <row r="814" spans="13:41">
      <c r="M814"/>
      <c r="R814"/>
      <c r="V814"/>
      <c r="Y814"/>
      <c r="AD814"/>
      <c r="AM814"/>
      <c r="AO814"/>
    </row>
    <row r="815" spans="13:41">
      <c r="M815"/>
      <c r="R815"/>
      <c r="V815"/>
      <c r="Y815"/>
      <c r="AD815"/>
      <c r="AM815"/>
      <c r="AO815"/>
    </row>
    <row r="816" spans="13:41">
      <c r="M816"/>
      <c r="R816"/>
      <c r="V816"/>
      <c r="Y816"/>
      <c r="AD816"/>
      <c r="AM816"/>
      <c r="AO816"/>
    </row>
    <row r="817" spans="13:41">
      <c r="M817"/>
      <c r="R817"/>
      <c r="V817"/>
      <c r="Y817"/>
      <c r="AD817"/>
      <c r="AM817"/>
      <c r="AO817"/>
    </row>
    <row r="818" spans="13:41">
      <c r="M818"/>
      <c r="R818"/>
      <c r="V818"/>
      <c r="Y818"/>
      <c r="AD818"/>
      <c r="AM818"/>
      <c r="AO818"/>
    </row>
    <row r="819" spans="13:41">
      <c r="M819"/>
      <c r="R819"/>
      <c r="V819"/>
      <c r="Y819"/>
      <c r="AD819"/>
      <c r="AM819"/>
      <c r="AO819"/>
    </row>
    <row r="820" spans="13:41">
      <c r="M820"/>
      <c r="R820"/>
      <c r="V820"/>
      <c r="Y820"/>
      <c r="AD820"/>
      <c r="AM820"/>
      <c r="AO820"/>
    </row>
    <row r="821" spans="13:41">
      <c r="M821"/>
      <c r="R821"/>
      <c r="V821"/>
      <c r="Y821"/>
      <c r="AD821"/>
      <c r="AM821"/>
      <c r="AO821"/>
    </row>
    <row r="822" spans="13:41">
      <c r="M822"/>
      <c r="R822"/>
      <c r="V822"/>
      <c r="Y822"/>
      <c r="AD822"/>
      <c r="AM822"/>
      <c r="AO822"/>
    </row>
    <row r="823" spans="13:41">
      <c r="M823"/>
      <c r="R823"/>
      <c r="V823"/>
      <c r="Y823"/>
      <c r="AD823"/>
      <c r="AM823"/>
      <c r="AO823"/>
    </row>
    <row r="824" spans="13:41">
      <c r="M824"/>
      <c r="R824"/>
      <c r="V824"/>
      <c r="Y824"/>
      <c r="AD824"/>
      <c r="AM824"/>
      <c r="AO824"/>
    </row>
    <row r="825" spans="13:41">
      <c r="M825"/>
      <c r="R825"/>
      <c r="V825"/>
      <c r="Y825"/>
      <c r="AD825"/>
      <c r="AM825"/>
      <c r="AO825"/>
    </row>
    <row r="826" spans="13:41">
      <c r="M826"/>
      <c r="R826"/>
      <c r="V826"/>
      <c r="Y826"/>
      <c r="AD826"/>
      <c r="AM826"/>
      <c r="AO826"/>
    </row>
    <row r="827" spans="13:41">
      <c r="M827"/>
      <c r="R827"/>
      <c r="V827"/>
      <c r="Y827"/>
      <c r="AD827"/>
      <c r="AM827"/>
      <c r="AO827"/>
    </row>
    <row r="828" spans="13:41">
      <c r="M828"/>
      <c r="R828"/>
      <c r="V828"/>
      <c r="Y828"/>
      <c r="AD828"/>
      <c r="AM828"/>
      <c r="AO828"/>
    </row>
    <row r="829" spans="13:41">
      <c r="M829"/>
      <c r="R829"/>
      <c r="V829"/>
      <c r="Y829"/>
      <c r="AD829"/>
      <c r="AM829"/>
      <c r="AO829"/>
    </row>
    <row r="830" spans="13:41">
      <c r="M830"/>
      <c r="R830"/>
      <c r="V830"/>
      <c r="Y830"/>
      <c r="AD830"/>
      <c r="AM830"/>
      <c r="AO830"/>
    </row>
    <row r="831" spans="13:41">
      <c r="M831"/>
      <c r="R831"/>
      <c r="V831"/>
      <c r="Y831"/>
      <c r="AD831"/>
      <c r="AM831"/>
      <c r="AO831"/>
    </row>
    <row r="832" spans="13:41">
      <c r="M832"/>
      <c r="R832"/>
      <c r="V832"/>
      <c r="Y832"/>
      <c r="AD832"/>
      <c r="AM832"/>
      <c r="AO832"/>
    </row>
    <row r="833" spans="13:41">
      <c r="M833"/>
      <c r="R833"/>
      <c r="V833"/>
      <c r="Y833"/>
      <c r="AD833"/>
      <c r="AM833"/>
      <c r="AO833"/>
    </row>
    <row r="834" spans="13:41">
      <c r="M834"/>
      <c r="R834"/>
      <c r="V834"/>
      <c r="Y834"/>
      <c r="AD834"/>
      <c r="AM834"/>
      <c r="AO834"/>
    </row>
    <row r="835" spans="13:41">
      <c r="M835"/>
      <c r="R835"/>
      <c r="V835"/>
      <c r="Y835"/>
      <c r="AD835"/>
      <c r="AM835"/>
      <c r="AO835"/>
    </row>
    <row r="836" spans="13:41">
      <c r="M836"/>
      <c r="R836"/>
      <c r="V836"/>
      <c r="Y836"/>
      <c r="AD836"/>
      <c r="AM836"/>
      <c r="AO836"/>
    </row>
    <row r="837" spans="13:41">
      <c r="M837"/>
      <c r="R837"/>
      <c r="V837"/>
      <c r="Y837"/>
      <c r="AD837"/>
      <c r="AM837"/>
      <c r="AO837"/>
    </row>
    <row r="838" spans="13:41">
      <c r="M838"/>
      <c r="R838"/>
      <c r="V838"/>
      <c r="Y838"/>
      <c r="AD838"/>
      <c r="AM838"/>
      <c r="AO838"/>
    </row>
    <row r="839" spans="13:41">
      <c r="M839"/>
      <c r="R839"/>
      <c r="V839"/>
      <c r="Y839"/>
      <c r="AD839"/>
      <c r="AM839"/>
      <c r="AO839"/>
    </row>
    <row r="840" spans="13:41">
      <c r="M840"/>
      <c r="R840"/>
      <c r="V840"/>
      <c r="Y840"/>
      <c r="AD840"/>
      <c r="AM840"/>
      <c r="AO840"/>
    </row>
    <row r="841" spans="13:41">
      <c r="M841"/>
      <c r="R841"/>
      <c r="V841"/>
      <c r="Y841"/>
      <c r="AD841"/>
      <c r="AM841"/>
      <c r="AO841"/>
    </row>
    <row r="842" spans="13:41">
      <c r="M842"/>
      <c r="R842"/>
      <c r="V842"/>
      <c r="Y842"/>
      <c r="AD842"/>
      <c r="AM842"/>
      <c r="AO842"/>
    </row>
    <row r="843" spans="13:41">
      <c r="M843"/>
      <c r="R843"/>
      <c r="V843"/>
      <c r="Y843"/>
      <c r="AD843"/>
      <c r="AM843"/>
      <c r="AO843"/>
    </row>
    <row r="844" spans="13:41">
      <c r="M844"/>
      <c r="R844"/>
      <c r="V844"/>
      <c r="Y844"/>
      <c r="AD844"/>
      <c r="AM844"/>
      <c r="AO844"/>
    </row>
    <row r="845" spans="13:41">
      <c r="M845"/>
      <c r="R845"/>
      <c r="V845"/>
      <c r="Y845"/>
      <c r="AD845"/>
      <c r="AM845"/>
      <c r="AO845"/>
    </row>
    <row r="846" spans="13:41">
      <c r="M846"/>
      <c r="R846"/>
      <c r="V846"/>
      <c r="Y846"/>
      <c r="AD846"/>
      <c r="AM846"/>
      <c r="AO846"/>
    </row>
    <row r="847" spans="13:41">
      <c r="M847"/>
      <c r="R847"/>
      <c r="V847"/>
      <c r="Y847"/>
      <c r="AD847"/>
      <c r="AM847"/>
      <c r="AO847"/>
    </row>
    <row r="848" spans="13:41">
      <c r="M848"/>
      <c r="R848"/>
      <c r="V848"/>
      <c r="Y848"/>
      <c r="AD848"/>
      <c r="AM848"/>
      <c r="AO848"/>
    </row>
    <row r="849" spans="13:41">
      <c r="M849"/>
      <c r="R849"/>
      <c r="V849"/>
      <c r="Y849"/>
      <c r="AD849"/>
      <c r="AM849"/>
      <c r="AO849"/>
    </row>
    <row r="850" spans="13:41">
      <c r="M850"/>
      <c r="R850"/>
      <c r="V850"/>
      <c r="Y850"/>
      <c r="AD850"/>
      <c r="AM850"/>
      <c r="AO850"/>
    </row>
    <row r="851" spans="13:41">
      <c r="M851"/>
      <c r="R851"/>
      <c r="V851"/>
      <c r="Y851"/>
      <c r="AD851"/>
      <c r="AM851"/>
      <c r="AO851"/>
    </row>
    <row r="852" spans="13:41">
      <c r="M852"/>
      <c r="R852"/>
      <c r="V852"/>
      <c r="Y852"/>
      <c r="AD852"/>
      <c r="AM852"/>
      <c r="AO852"/>
    </row>
    <row r="853" spans="13:41">
      <c r="M853"/>
      <c r="R853"/>
      <c r="V853"/>
      <c r="Y853"/>
      <c r="AD853"/>
      <c r="AM853"/>
      <c r="AO853"/>
    </row>
    <row r="854" spans="13:41">
      <c r="M854"/>
      <c r="R854"/>
      <c r="V854"/>
      <c r="Y854"/>
      <c r="AD854"/>
      <c r="AM854"/>
      <c r="AO854"/>
    </row>
    <row r="855" spans="13:41">
      <c r="M855"/>
      <c r="R855"/>
      <c r="V855"/>
      <c r="Y855"/>
      <c r="AD855"/>
      <c r="AM855"/>
      <c r="AO855"/>
    </row>
    <row r="856" spans="13:41">
      <c r="M856"/>
      <c r="R856"/>
      <c r="V856"/>
      <c r="Y856"/>
      <c r="AD856"/>
      <c r="AM856"/>
      <c r="AO856"/>
    </row>
    <row r="857" spans="13:41">
      <c r="M857"/>
      <c r="R857"/>
      <c r="V857"/>
      <c r="Y857"/>
      <c r="AD857"/>
      <c r="AM857"/>
      <c r="AO857"/>
    </row>
    <row r="858" spans="13:41">
      <c r="M858"/>
      <c r="R858"/>
      <c r="V858"/>
      <c r="Y858"/>
      <c r="AD858"/>
      <c r="AM858"/>
      <c r="AO858"/>
    </row>
    <row r="859" spans="13:41">
      <c r="M859"/>
      <c r="R859"/>
      <c r="V859"/>
      <c r="Y859"/>
      <c r="AD859"/>
      <c r="AM859"/>
      <c r="AO859"/>
    </row>
    <row r="860" spans="13:41">
      <c r="M860"/>
      <c r="R860"/>
      <c r="V860"/>
      <c r="Y860"/>
      <c r="AD860"/>
      <c r="AM860"/>
      <c r="AO860"/>
    </row>
    <row r="861" spans="13:41">
      <c r="M861"/>
      <c r="R861"/>
      <c r="V861"/>
      <c r="Y861"/>
      <c r="AD861"/>
      <c r="AM861"/>
      <c r="AO861"/>
    </row>
    <row r="862" spans="13:41">
      <c r="M862"/>
      <c r="R862"/>
      <c r="V862"/>
      <c r="Y862"/>
      <c r="AD862"/>
      <c r="AM862"/>
      <c r="AO862"/>
    </row>
    <row r="863" spans="13:41">
      <c r="M863"/>
      <c r="R863"/>
      <c r="V863"/>
      <c r="Y863"/>
      <c r="AD863"/>
      <c r="AM863"/>
      <c r="AO863"/>
    </row>
    <row r="864" spans="13:41">
      <c r="M864"/>
      <c r="R864"/>
      <c r="V864"/>
      <c r="Y864"/>
      <c r="AD864"/>
      <c r="AM864"/>
      <c r="AO864"/>
    </row>
    <row r="865" spans="13:41">
      <c r="M865"/>
      <c r="R865"/>
      <c r="V865"/>
      <c r="Y865"/>
      <c r="AD865"/>
      <c r="AM865"/>
      <c r="AO865"/>
    </row>
    <row r="866" spans="13:41">
      <c r="M866"/>
      <c r="R866"/>
      <c r="V866"/>
      <c r="Y866"/>
      <c r="AD866"/>
      <c r="AM866"/>
      <c r="AO866"/>
    </row>
    <row r="867" spans="13:41">
      <c r="M867"/>
      <c r="R867"/>
      <c r="V867"/>
      <c r="Y867"/>
      <c r="AD867"/>
      <c r="AM867"/>
      <c r="AO867"/>
    </row>
    <row r="868" spans="13:41">
      <c r="M868"/>
      <c r="R868"/>
      <c r="V868"/>
      <c r="Y868"/>
      <c r="AD868"/>
      <c r="AM868"/>
      <c r="AO868"/>
    </row>
    <row r="869" spans="13:41">
      <c r="M869"/>
      <c r="R869"/>
      <c r="V869"/>
      <c r="Y869"/>
      <c r="AD869"/>
      <c r="AM869"/>
      <c r="AO869"/>
    </row>
    <row r="870" spans="13:41">
      <c r="M870"/>
      <c r="R870"/>
      <c r="V870"/>
      <c r="Y870"/>
      <c r="AD870"/>
      <c r="AM870"/>
      <c r="AO870"/>
    </row>
    <row r="871" spans="13:41">
      <c r="M871"/>
      <c r="R871"/>
      <c r="V871"/>
      <c r="Y871"/>
      <c r="AD871"/>
      <c r="AM871"/>
      <c r="AO871"/>
    </row>
    <row r="872" spans="13:41">
      <c r="M872"/>
      <c r="R872"/>
      <c r="V872"/>
      <c r="Y872"/>
      <c r="AD872"/>
      <c r="AM872"/>
      <c r="AO872"/>
    </row>
    <row r="873" spans="13:41">
      <c r="M873"/>
      <c r="R873"/>
      <c r="V873"/>
      <c r="Y873"/>
      <c r="AD873"/>
      <c r="AM873"/>
      <c r="AO873"/>
    </row>
    <row r="874" spans="13:41">
      <c r="M874"/>
      <c r="R874"/>
      <c r="V874"/>
      <c r="Y874"/>
      <c r="AD874"/>
      <c r="AM874"/>
      <c r="AO874"/>
    </row>
    <row r="875" spans="13:41">
      <c r="M875"/>
      <c r="R875"/>
      <c r="V875"/>
      <c r="Y875"/>
      <c r="AD875"/>
      <c r="AM875"/>
      <c r="AO875"/>
    </row>
    <row r="876" spans="13:41">
      <c r="M876"/>
      <c r="R876"/>
      <c r="V876"/>
      <c r="Y876"/>
      <c r="AD876"/>
      <c r="AM876"/>
      <c r="AO876"/>
    </row>
    <row r="877" spans="13:41">
      <c r="M877"/>
      <c r="R877"/>
      <c r="V877"/>
      <c r="Y877"/>
      <c r="AD877"/>
      <c r="AM877"/>
      <c r="AO877"/>
    </row>
    <row r="878" spans="13:41">
      <c r="M878"/>
      <c r="R878"/>
      <c r="V878"/>
      <c r="Y878"/>
      <c r="AD878"/>
      <c r="AM878"/>
      <c r="AO878"/>
    </row>
    <row r="879" spans="13:41">
      <c r="M879"/>
      <c r="R879"/>
      <c r="V879"/>
      <c r="Y879"/>
      <c r="AD879"/>
      <c r="AM879"/>
      <c r="AO879"/>
    </row>
    <row r="880" spans="13:41">
      <c r="M880"/>
      <c r="R880"/>
      <c r="V880"/>
      <c r="Y880"/>
      <c r="AD880"/>
      <c r="AM880"/>
      <c r="AO880"/>
    </row>
    <row r="881" spans="13:41">
      <c r="M881"/>
      <c r="R881"/>
      <c r="V881"/>
      <c r="Y881"/>
      <c r="AD881"/>
      <c r="AM881"/>
      <c r="AO881"/>
    </row>
    <row r="882" spans="13:41">
      <c r="M882"/>
      <c r="R882"/>
      <c r="V882"/>
      <c r="Y882"/>
      <c r="AD882"/>
      <c r="AM882"/>
      <c r="AO882"/>
    </row>
    <row r="883" spans="13:41">
      <c r="M883"/>
      <c r="R883"/>
      <c r="V883"/>
      <c r="Y883"/>
      <c r="AD883"/>
      <c r="AM883"/>
      <c r="AO883"/>
    </row>
    <row r="884" spans="13:41">
      <c r="M884"/>
      <c r="R884"/>
      <c r="V884"/>
      <c r="Y884"/>
      <c r="AD884"/>
      <c r="AM884"/>
      <c r="AO884"/>
    </row>
    <row r="885" spans="13:41">
      <c r="M885"/>
      <c r="R885"/>
      <c r="V885"/>
      <c r="Y885"/>
      <c r="AD885"/>
      <c r="AM885"/>
      <c r="AO885"/>
    </row>
    <row r="886" spans="13:41">
      <c r="M886"/>
      <c r="R886"/>
      <c r="V886"/>
      <c r="Y886"/>
      <c r="AD886"/>
      <c r="AM886"/>
      <c r="AO886"/>
    </row>
    <row r="887" spans="13:41">
      <c r="M887"/>
      <c r="R887"/>
      <c r="V887"/>
      <c r="Y887"/>
      <c r="AD887"/>
      <c r="AM887"/>
      <c r="AO887"/>
    </row>
    <row r="888" spans="13:41">
      <c r="M888"/>
      <c r="R888"/>
      <c r="V888"/>
      <c r="Y888"/>
      <c r="AD888"/>
      <c r="AM888"/>
      <c r="AO888"/>
    </row>
    <row r="889" spans="13:41">
      <c r="M889"/>
      <c r="R889"/>
      <c r="V889"/>
      <c r="Y889"/>
      <c r="AD889"/>
      <c r="AM889"/>
      <c r="AO889"/>
    </row>
    <row r="890" spans="13:41">
      <c r="M890"/>
      <c r="R890"/>
      <c r="V890"/>
      <c r="Y890"/>
      <c r="AD890"/>
      <c r="AM890"/>
      <c r="AO890"/>
    </row>
    <row r="891" spans="13:41">
      <c r="M891"/>
      <c r="R891"/>
      <c r="V891"/>
      <c r="Y891"/>
      <c r="AD891"/>
      <c r="AM891"/>
      <c r="AO891"/>
    </row>
    <row r="892" spans="13:41">
      <c r="M892"/>
      <c r="R892"/>
      <c r="V892"/>
      <c r="Y892"/>
      <c r="AD892"/>
      <c r="AM892"/>
      <c r="AO892"/>
    </row>
    <row r="893" spans="13:41">
      <c r="M893"/>
      <c r="R893"/>
      <c r="V893"/>
      <c r="Y893"/>
      <c r="AD893"/>
      <c r="AM893"/>
      <c r="AO893"/>
    </row>
    <row r="894" spans="13:41">
      <c r="M894"/>
      <c r="R894"/>
      <c r="V894"/>
      <c r="Y894"/>
      <c r="AD894"/>
      <c r="AM894"/>
      <c r="AO894"/>
    </row>
    <row r="895" spans="13:41">
      <c r="M895"/>
      <c r="R895"/>
      <c r="V895"/>
      <c r="Y895"/>
      <c r="AD895"/>
      <c r="AM895"/>
      <c r="AO895"/>
    </row>
    <row r="896" spans="13:41">
      <c r="M896"/>
      <c r="R896"/>
      <c r="V896"/>
      <c r="Y896"/>
      <c r="AD896"/>
      <c r="AM896"/>
      <c r="AO896"/>
    </row>
    <row r="897" spans="13:41">
      <c r="M897"/>
      <c r="R897"/>
      <c r="V897"/>
      <c r="Y897"/>
      <c r="AD897"/>
      <c r="AM897"/>
      <c r="AO897"/>
    </row>
    <row r="898" spans="13:41">
      <c r="M898"/>
      <c r="R898"/>
      <c r="V898"/>
      <c r="Y898"/>
      <c r="AD898"/>
      <c r="AM898"/>
      <c r="AO898"/>
    </row>
    <row r="899" spans="13:41">
      <c r="M899"/>
      <c r="R899"/>
      <c r="V899"/>
      <c r="Y899"/>
      <c r="AD899"/>
      <c r="AM899"/>
      <c r="AO899"/>
    </row>
    <row r="900" spans="13:41">
      <c r="M900"/>
      <c r="R900"/>
      <c r="V900"/>
      <c r="Y900"/>
      <c r="AD900"/>
      <c r="AM900"/>
      <c r="AO900"/>
    </row>
    <row r="901" spans="13:41">
      <c r="M901"/>
      <c r="R901"/>
      <c r="V901"/>
      <c r="Y901"/>
      <c r="AD901"/>
      <c r="AM901"/>
      <c r="AO901"/>
    </row>
    <row r="902" spans="13:41">
      <c r="M902"/>
      <c r="R902"/>
      <c r="V902"/>
      <c r="Y902"/>
      <c r="AD902"/>
      <c r="AM902"/>
      <c r="AO902"/>
    </row>
    <row r="903" spans="13:41">
      <c r="M903"/>
      <c r="R903"/>
      <c r="V903"/>
      <c r="Y903"/>
      <c r="AD903"/>
      <c r="AM903"/>
      <c r="AO903"/>
    </row>
    <row r="904" spans="13:41">
      <c r="M904"/>
      <c r="R904"/>
      <c r="V904"/>
      <c r="Y904"/>
      <c r="AD904"/>
      <c r="AM904"/>
      <c r="AO904"/>
    </row>
    <row r="905" spans="13:41">
      <c r="M905"/>
      <c r="R905"/>
      <c r="V905"/>
      <c r="Y905"/>
      <c r="AD905"/>
      <c r="AM905"/>
      <c r="AO905"/>
    </row>
    <row r="906" spans="13:41">
      <c r="M906"/>
      <c r="R906"/>
      <c r="V906"/>
      <c r="Y906"/>
      <c r="AD906"/>
      <c r="AM906"/>
      <c r="AO906"/>
    </row>
    <row r="907" spans="13:41">
      <c r="M907"/>
      <c r="R907"/>
      <c r="V907"/>
      <c r="Y907"/>
      <c r="AD907"/>
      <c r="AM907"/>
      <c r="AO907"/>
    </row>
    <row r="908" spans="13:41">
      <c r="M908"/>
      <c r="R908"/>
      <c r="V908"/>
      <c r="Y908"/>
      <c r="AD908"/>
      <c r="AM908"/>
      <c r="AO908"/>
    </row>
    <row r="909" spans="13:41">
      <c r="M909"/>
      <c r="R909"/>
      <c r="V909"/>
      <c r="Y909"/>
      <c r="AD909"/>
      <c r="AM909"/>
      <c r="AO909"/>
    </row>
    <row r="910" spans="13:41">
      <c r="M910"/>
      <c r="R910"/>
      <c r="V910"/>
      <c r="Y910"/>
      <c r="AD910"/>
      <c r="AM910"/>
      <c r="AO910"/>
    </row>
    <row r="911" spans="13:41">
      <c r="M911"/>
      <c r="R911"/>
      <c r="V911"/>
      <c r="Y911"/>
      <c r="AD911"/>
      <c r="AM911"/>
      <c r="AO911"/>
    </row>
    <row r="912" spans="13:41">
      <c r="M912"/>
      <c r="R912"/>
      <c r="V912"/>
      <c r="Y912"/>
      <c r="AD912"/>
      <c r="AM912"/>
      <c r="AO912"/>
    </row>
    <row r="913" spans="13:41">
      <c r="M913"/>
      <c r="R913"/>
      <c r="V913"/>
      <c r="Y913"/>
      <c r="AD913"/>
      <c r="AM913"/>
      <c r="AO913"/>
    </row>
    <row r="914" spans="13:41">
      <c r="M914"/>
      <c r="R914"/>
      <c r="V914"/>
      <c r="Y914"/>
      <c r="AD914"/>
      <c r="AM914"/>
      <c r="AO914"/>
    </row>
    <row r="915" spans="13:41">
      <c r="M915"/>
      <c r="R915"/>
      <c r="V915"/>
      <c r="Y915"/>
      <c r="AD915"/>
      <c r="AM915"/>
      <c r="AO915"/>
    </row>
    <row r="916" spans="13:41">
      <c r="M916"/>
      <c r="R916"/>
      <c r="V916"/>
      <c r="Y916"/>
      <c r="AD916"/>
      <c r="AM916"/>
      <c r="AO916"/>
    </row>
    <row r="917" spans="13:41">
      <c r="M917"/>
      <c r="R917"/>
      <c r="V917"/>
      <c r="Y917"/>
      <c r="AD917"/>
      <c r="AM917"/>
      <c r="AO917"/>
    </row>
    <row r="918" spans="13:41">
      <c r="M918"/>
      <c r="R918"/>
      <c r="V918"/>
      <c r="Y918"/>
      <c r="AD918"/>
      <c r="AM918"/>
      <c r="AO918"/>
    </row>
    <row r="919" spans="13:41">
      <c r="M919"/>
      <c r="R919"/>
      <c r="V919"/>
      <c r="Y919"/>
      <c r="AD919"/>
      <c r="AM919"/>
      <c r="AO919"/>
    </row>
    <row r="920" spans="13:41">
      <c r="M920"/>
      <c r="R920"/>
      <c r="V920"/>
      <c r="Y920"/>
      <c r="AD920"/>
      <c r="AM920"/>
      <c r="AO920"/>
    </row>
    <row r="921" spans="13:41">
      <c r="M921"/>
      <c r="R921"/>
      <c r="V921"/>
      <c r="Y921"/>
      <c r="AD921"/>
      <c r="AM921"/>
      <c r="AO921"/>
    </row>
    <row r="922" spans="13:41">
      <c r="M922"/>
      <c r="R922"/>
      <c r="V922"/>
      <c r="Y922"/>
      <c r="AD922"/>
      <c r="AM922"/>
      <c r="AO922"/>
    </row>
    <row r="923" spans="13:41">
      <c r="M923"/>
      <c r="R923"/>
      <c r="V923"/>
      <c r="Y923"/>
      <c r="AD923"/>
      <c r="AM923"/>
      <c r="AO923"/>
    </row>
    <row r="924" spans="13:41">
      <c r="M924"/>
      <c r="R924"/>
      <c r="V924"/>
      <c r="Y924"/>
      <c r="AD924"/>
      <c r="AM924"/>
      <c r="AO924"/>
    </row>
    <row r="925" spans="13:41">
      <c r="M925"/>
      <c r="R925"/>
      <c r="V925"/>
      <c r="Y925"/>
      <c r="AD925"/>
      <c r="AM925"/>
      <c r="AO925"/>
    </row>
    <row r="926" spans="13:41">
      <c r="M926"/>
      <c r="R926"/>
      <c r="V926"/>
      <c r="Y926"/>
      <c r="AD926"/>
      <c r="AM926"/>
      <c r="AO926"/>
    </row>
    <row r="927" spans="13:41">
      <c r="M927"/>
      <c r="R927"/>
      <c r="V927"/>
      <c r="Y927"/>
      <c r="AD927"/>
      <c r="AM927"/>
      <c r="AO927"/>
    </row>
    <row r="928" spans="13:41">
      <c r="M928"/>
      <c r="R928"/>
      <c r="V928"/>
      <c r="Y928"/>
      <c r="AD928"/>
      <c r="AM928"/>
      <c r="AO928"/>
    </row>
    <row r="929" spans="13:41">
      <c r="M929"/>
      <c r="R929"/>
      <c r="V929"/>
      <c r="Y929"/>
      <c r="AD929"/>
      <c r="AM929"/>
      <c r="AO929"/>
    </row>
    <row r="930" spans="13:41">
      <c r="M930"/>
      <c r="R930"/>
      <c r="V930"/>
      <c r="Y930"/>
      <c r="AD930"/>
      <c r="AM930"/>
      <c r="AO930"/>
    </row>
    <row r="931" spans="13:41">
      <c r="M931"/>
      <c r="R931"/>
      <c r="V931"/>
      <c r="Y931"/>
      <c r="AD931"/>
      <c r="AM931"/>
      <c r="AO931"/>
    </row>
    <row r="932" spans="13:41">
      <c r="M932"/>
      <c r="R932"/>
      <c r="V932"/>
      <c r="Y932"/>
      <c r="AD932"/>
      <c r="AM932"/>
      <c r="AO932"/>
    </row>
    <row r="933" spans="13:41">
      <c r="M933"/>
      <c r="R933"/>
      <c r="V933"/>
      <c r="Y933"/>
      <c r="AD933"/>
      <c r="AM933"/>
      <c r="AO933"/>
    </row>
    <row r="934" spans="13:41">
      <c r="M934"/>
      <c r="R934"/>
      <c r="V934"/>
      <c r="Y934"/>
      <c r="AD934"/>
      <c r="AM934"/>
      <c r="AO934"/>
    </row>
    <row r="935" spans="13:41">
      <c r="M935"/>
      <c r="R935"/>
      <c r="V935"/>
      <c r="Y935"/>
      <c r="AD935"/>
      <c r="AM935"/>
      <c r="AO935"/>
    </row>
    <row r="936" spans="13:41">
      <c r="M936"/>
      <c r="R936"/>
      <c r="V936"/>
      <c r="Y936"/>
      <c r="AD936"/>
      <c r="AM936"/>
      <c r="AO936"/>
    </row>
    <row r="937" spans="13:41">
      <c r="M937"/>
      <c r="R937"/>
      <c r="V937"/>
      <c r="Y937"/>
      <c r="AD937"/>
      <c r="AM937"/>
      <c r="AO937"/>
    </row>
    <row r="938" spans="13:41">
      <c r="M938"/>
      <c r="R938"/>
      <c r="V938"/>
      <c r="Y938"/>
      <c r="AD938"/>
      <c r="AM938"/>
      <c r="AO938"/>
    </row>
    <row r="939" spans="13:41">
      <c r="M939"/>
      <c r="R939"/>
      <c r="V939"/>
      <c r="Y939"/>
      <c r="AD939"/>
      <c r="AM939"/>
      <c r="AO939"/>
    </row>
    <row r="940" spans="13:41">
      <c r="M940"/>
      <c r="R940"/>
      <c r="V940"/>
      <c r="Y940"/>
      <c r="AD940"/>
      <c r="AM940"/>
      <c r="AO940"/>
    </row>
    <row r="941" spans="13:41">
      <c r="M941"/>
      <c r="R941"/>
      <c r="V941"/>
      <c r="Y941"/>
      <c r="AD941"/>
      <c r="AM941"/>
      <c r="AO941"/>
    </row>
    <row r="942" spans="13:41">
      <c r="M942"/>
      <c r="R942"/>
      <c r="V942"/>
      <c r="Y942"/>
      <c r="AD942"/>
      <c r="AM942"/>
      <c r="AO942"/>
    </row>
    <row r="943" spans="13:41">
      <c r="M943"/>
      <c r="R943"/>
      <c r="V943"/>
      <c r="Y943"/>
      <c r="AD943"/>
      <c r="AM943"/>
      <c r="AO943"/>
    </row>
    <row r="944" spans="13:41">
      <c r="M944"/>
      <c r="R944"/>
      <c r="V944"/>
      <c r="Y944"/>
      <c r="AD944"/>
      <c r="AM944"/>
      <c r="AO944"/>
    </row>
    <row r="945" spans="13:41">
      <c r="M945"/>
      <c r="R945"/>
      <c r="V945"/>
      <c r="Y945"/>
      <c r="AD945"/>
      <c r="AM945"/>
      <c r="AO945"/>
    </row>
    <row r="946" spans="13:41">
      <c r="M946"/>
      <c r="R946"/>
      <c r="V946"/>
      <c r="Y946"/>
      <c r="AD946"/>
      <c r="AM946"/>
      <c r="AO946"/>
    </row>
    <row r="947" spans="13:41">
      <c r="M947"/>
      <c r="R947"/>
      <c r="V947"/>
      <c r="Y947"/>
      <c r="AD947"/>
      <c r="AM947"/>
      <c r="AO947"/>
    </row>
    <row r="948" spans="13:41">
      <c r="M948"/>
      <c r="R948"/>
      <c r="V948"/>
      <c r="Y948"/>
      <c r="AD948"/>
      <c r="AM948"/>
      <c r="AO948"/>
    </row>
    <row r="949" spans="13:41">
      <c r="M949"/>
      <c r="R949"/>
      <c r="V949"/>
      <c r="Y949"/>
      <c r="AD949"/>
      <c r="AM949"/>
      <c r="AO949"/>
    </row>
    <row r="950" spans="13:41">
      <c r="M950"/>
      <c r="R950"/>
      <c r="V950"/>
      <c r="Y950"/>
      <c r="AD950"/>
      <c r="AM950"/>
      <c r="AO950"/>
    </row>
    <row r="951" spans="13:41">
      <c r="M951"/>
      <c r="R951"/>
      <c r="V951"/>
      <c r="Y951"/>
      <c r="AD951"/>
      <c r="AM951"/>
      <c r="AO951"/>
    </row>
    <row r="952" spans="13:41">
      <c r="M952"/>
      <c r="R952"/>
      <c r="V952"/>
      <c r="Y952"/>
      <c r="AD952"/>
      <c r="AM952"/>
      <c r="AO952"/>
    </row>
    <row r="953" spans="13:41">
      <c r="M953"/>
      <c r="R953"/>
      <c r="V953"/>
      <c r="Y953"/>
      <c r="AD953"/>
      <c r="AM953"/>
      <c r="AO953"/>
    </row>
    <row r="954" spans="13:41">
      <c r="M954"/>
      <c r="R954"/>
      <c r="V954"/>
      <c r="Y954"/>
      <c r="AD954"/>
      <c r="AM954"/>
      <c r="AO954"/>
    </row>
    <row r="955" spans="13:41">
      <c r="M955"/>
      <c r="R955"/>
      <c r="V955"/>
      <c r="Y955"/>
      <c r="AD955"/>
      <c r="AM955"/>
      <c r="AO955"/>
    </row>
    <row r="956" spans="13:41">
      <c r="M956"/>
      <c r="R956"/>
      <c r="V956"/>
      <c r="Y956"/>
      <c r="AD956"/>
      <c r="AM956"/>
      <c r="AO956"/>
    </row>
    <row r="957" spans="13:41">
      <c r="M957"/>
      <c r="R957"/>
      <c r="V957"/>
      <c r="Y957"/>
      <c r="AD957"/>
      <c r="AM957"/>
      <c r="AO957"/>
    </row>
    <row r="958" spans="13:41">
      <c r="M958"/>
      <c r="R958"/>
      <c r="V958"/>
      <c r="Y958"/>
      <c r="AD958"/>
      <c r="AM958"/>
      <c r="AO958"/>
    </row>
    <row r="959" spans="13:41">
      <c r="M959"/>
      <c r="R959"/>
      <c r="V959"/>
      <c r="Y959"/>
      <c r="AD959"/>
      <c r="AM959"/>
      <c r="AO959"/>
    </row>
    <row r="960" spans="13:41">
      <c r="M960"/>
      <c r="R960"/>
      <c r="V960"/>
      <c r="Y960"/>
      <c r="AD960"/>
      <c r="AM960"/>
      <c r="AO960"/>
    </row>
    <row r="961" spans="13:41">
      <c r="M961"/>
      <c r="R961"/>
      <c r="V961"/>
      <c r="Y961"/>
      <c r="AD961"/>
      <c r="AM961"/>
      <c r="AO961"/>
    </row>
    <row r="962" spans="13:41">
      <c r="M962"/>
      <c r="R962"/>
      <c r="V962"/>
      <c r="Y962"/>
      <c r="AD962"/>
      <c r="AM962"/>
      <c r="AO962"/>
    </row>
    <row r="963" spans="13:41">
      <c r="M963"/>
      <c r="R963"/>
      <c r="V963"/>
      <c r="Y963"/>
      <c r="AD963"/>
      <c r="AM963"/>
      <c r="AO963"/>
    </row>
    <row r="964" spans="13:41">
      <c r="M964"/>
      <c r="R964"/>
      <c r="V964"/>
      <c r="Y964"/>
      <c r="AD964"/>
      <c r="AM964"/>
      <c r="AO964"/>
    </row>
    <row r="965" spans="13:41">
      <c r="M965"/>
      <c r="R965"/>
      <c r="V965"/>
      <c r="Y965"/>
      <c r="AD965"/>
      <c r="AM965"/>
      <c r="AO965"/>
    </row>
    <row r="966" spans="13:41">
      <c r="M966"/>
      <c r="R966"/>
      <c r="V966"/>
      <c r="Y966"/>
      <c r="AD966"/>
      <c r="AM966"/>
      <c r="AO966"/>
    </row>
    <row r="967" spans="13:41">
      <c r="M967"/>
      <c r="R967"/>
      <c r="V967"/>
      <c r="Y967"/>
      <c r="AD967"/>
      <c r="AM967"/>
      <c r="AO967"/>
    </row>
    <row r="968" spans="13:41">
      <c r="M968"/>
      <c r="R968"/>
      <c r="V968"/>
      <c r="Y968"/>
      <c r="AD968"/>
      <c r="AM968"/>
      <c r="AO968"/>
    </row>
    <row r="969" spans="13:41">
      <c r="M969"/>
      <c r="R969"/>
      <c r="V969"/>
      <c r="Y969"/>
      <c r="AD969"/>
      <c r="AM969"/>
      <c r="AO969"/>
    </row>
    <row r="970" spans="13:41">
      <c r="M970"/>
      <c r="R970"/>
      <c r="V970"/>
      <c r="Y970"/>
      <c r="AD970"/>
      <c r="AM970"/>
      <c r="AO970"/>
    </row>
    <row r="971" spans="13:41">
      <c r="M971"/>
      <c r="R971"/>
      <c r="V971"/>
      <c r="Y971"/>
      <c r="AD971"/>
      <c r="AM971"/>
      <c r="AO971"/>
    </row>
    <row r="972" spans="13:41">
      <c r="M972"/>
      <c r="R972"/>
      <c r="V972"/>
      <c r="Y972"/>
      <c r="AD972"/>
      <c r="AM972"/>
      <c r="AO972"/>
    </row>
    <row r="973" spans="13:41">
      <c r="M973"/>
      <c r="R973"/>
      <c r="V973"/>
      <c r="Y973"/>
      <c r="AD973"/>
      <c r="AM973"/>
      <c r="AO973"/>
    </row>
    <row r="974" spans="13:41">
      <c r="M974"/>
      <c r="R974"/>
      <c r="V974"/>
      <c r="Y974"/>
      <c r="AD974"/>
      <c r="AM974"/>
      <c r="AO974"/>
    </row>
    <row r="975" spans="13:41">
      <c r="M975"/>
      <c r="R975"/>
      <c r="V975"/>
      <c r="Y975"/>
      <c r="AD975"/>
      <c r="AM975"/>
      <c r="AO975"/>
    </row>
    <row r="976" spans="13:41">
      <c r="M976"/>
      <c r="R976"/>
      <c r="V976"/>
      <c r="Y976"/>
      <c r="AD976"/>
      <c r="AM976"/>
      <c r="AO976"/>
    </row>
    <row r="977" spans="13:41">
      <c r="M977"/>
      <c r="R977"/>
      <c r="V977"/>
      <c r="Y977"/>
      <c r="AD977"/>
      <c r="AM977"/>
      <c r="AO977"/>
    </row>
    <row r="978" spans="13:41">
      <c r="M978"/>
      <c r="R978"/>
      <c r="V978"/>
      <c r="Y978"/>
      <c r="AD978"/>
      <c r="AM978"/>
      <c r="AO978"/>
    </row>
    <row r="979" spans="13:41">
      <c r="M979"/>
      <c r="R979"/>
      <c r="V979"/>
      <c r="Y979"/>
      <c r="AD979"/>
      <c r="AM979"/>
      <c r="AO979"/>
    </row>
    <row r="980" spans="13:41">
      <c r="M980"/>
      <c r="R980"/>
      <c r="V980"/>
      <c r="Y980"/>
      <c r="AD980"/>
      <c r="AM980"/>
      <c r="AO980"/>
    </row>
    <row r="981" spans="13:41">
      <c r="M981"/>
      <c r="R981"/>
      <c r="V981"/>
      <c r="Y981"/>
      <c r="AD981"/>
      <c r="AM981"/>
      <c r="AO981"/>
    </row>
    <row r="982" spans="13:41">
      <c r="M982"/>
      <c r="R982"/>
      <c r="V982"/>
      <c r="Y982"/>
      <c r="AD982"/>
      <c r="AM982"/>
      <c r="AO982"/>
    </row>
    <row r="983" spans="13:41">
      <c r="M983"/>
      <c r="R983"/>
      <c r="V983"/>
      <c r="Y983"/>
      <c r="AD983"/>
      <c r="AM983"/>
      <c r="AO983"/>
    </row>
    <row r="984" spans="13:41">
      <c r="M984"/>
      <c r="R984"/>
      <c r="V984"/>
      <c r="Y984"/>
      <c r="AD984"/>
      <c r="AM984"/>
      <c r="AO984"/>
    </row>
    <row r="985" spans="13:41">
      <c r="M985"/>
      <c r="R985"/>
      <c r="V985"/>
      <c r="Y985"/>
      <c r="AD985"/>
      <c r="AM985"/>
      <c r="AO985"/>
    </row>
    <row r="986" spans="13:41">
      <c r="M986"/>
      <c r="R986"/>
      <c r="V986"/>
      <c r="Y986"/>
      <c r="AD986"/>
      <c r="AM986"/>
      <c r="AO986"/>
    </row>
    <row r="987" spans="13:41">
      <c r="M987"/>
      <c r="R987"/>
      <c r="V987"/>
      <c r="Y987"/>
      <c r="AD987"/>
      <c r="AM987"/>
      <c r="AO987"/>
    </row>
    <row r="988" spans="13:41">
      <c r="M988"/>
      <c r="R988"/>
      <c r="V988"/>
      <c r="Y988"/>
      <c r="AD988"/>
      <c r="AM988"/>
      <c r="AO988"/>
    </row>
    <row r="989" spans="13:41">
      <c r="M989"/>
      <c r="R989"/>
      <c r="V989"/>
      <c r="Y989"/>
      <c r="AD989"/>
      <c r="AM989"/>
      <c r="AO989"/>
    </row>
    <row r="990" spans="13:41">
      <c r="M990"/>
      <c r="R990"/>
      <c r="V990"/>
      <c r="Y990"/>
      <c r="AD990"/>
      <c r="AM990"/>
      <c r="AO990"/>
    </row>
    <row r="991" spans="13:41">
      <c r="M991"/>
      <c r="R991"/>
      <c r="V991"/>
      <c r="Y991"/>
      <c r="AD991"/>
      <c r="AM991"/>
      <c r="AO991"/>
    </row>
    <row r="992" spans="13:41">
      <c r="M992"/>
      <c r="R992"/>
      <c r="V992"/>
      <c r="Y992"/>
      <c r="AD992"/>
      <c r="AM992"/>
      <c r="AO992"/>
    </row>
    <row r="993" spans="13:41">
      <c r="M993"/>
      <c r="R993"/>
      <c r="V993"/>
      <c r="Y993"/>
      <c r="AD993"/>
      <c r="AM993"/>
      <c r="AO993"/>
    </row>
    <row r="994" spans="13:41">
      <c r="M994"/>
      <c r="R994"/>
      <c r="V994"/>
      <c r="Y994"/>
      <c r="AD994"/>
      <c r="AM994"/>
      <c r="AO994"/>
    </row>
    <row r="995" spans="13:41">
      <c r="M995"/>
      <c r="R995"/>
      <c r="V995"/>
      <c r="Y995"/>
      <c r="AD995"/>
      <c r="AM995"/>
      <c r="AO995"/>
    </row>
    <row r="996" spans="13:41">
      <c r="M996"/>
      <c r="R996"/>
      <c r="V996"/>
      <c r="Y996"/>
      <c r="AD996"/>
      <c r="AM996"/>
      <c r="AO996"/>
    </row>
    <row r="997" spans="13:41">
      <c r="M997"/>
      <c r="R997"/>
      <c r="V997"/>
      <c r="Y997"/>
      <c r="AD997"/>
      <c r="AM997"/>
      <c r="AO997"/>
    </row>
    <row r="998" spans="13:41">
      <c r="M998"/>
      <c r="R998"/>
      <c r="V998"/>
      <c r="Y998"/>
      <c r="AD998"/>
      <c r="AM998"/>
      <c r="AO998"/>
    </row>
    <row r="999" spans="13:41">
      <c r="M999"/>
      <c r="R999"/>
      <c r="V999"/>
      <c r="Y999"/>
      <c r="AD999"/>
      <c r="AM999"/>
      <c r="AO999"/>
    </row>
    <row r="1000" spans="13:41">
      <c r="M1000"/>
      <c r="R1000"/>
      <c r="V1000"/>
      <c r="Y1000"/>
      <c r="AD1000"/>
      <c r="AM1000"/>
      <c r="AO1000"/>
    </row>
    <row r="1001" spans="13:41">
      <c r="M1001"/>
      <c r="R1001"/>
      <c r="V1001"/>
      <c r="Y1001"/>
      <c r="AD1001"/>
      <c r="AM1001"/>
      <c r="AO1001"/>
    </row>
    <row r="1002" spans="13:41">
      <c r="M1002"/>
      <c r="R1002"/>
      <c r="V1002"/>
      <c r="Y1002"/>
      <c r="AD1002"/>
      <c r="AM1002"/>
      <c r="AO1002"/>
    </row>
    <row r="1003" spans="13:41">
      <c r="M1003"/>
      <c r="R1003"/>
      <c r="V1003"/>
      <c r="Y1003"/>
      <c r="AD1003"/>
      <c r="AM1003"/>
      <c r="AO1003"/>
    </row>
    <row r="1004" spans="13:41">
      <c r="M1004"/>
      <c r="R1004"/>
      <c r="V1004"/>
      <c r="Y1004"/>
      <c r="AD1004"/>
      <c r="AM1004"/>
      <c r="AO1004"/>
    </row>
    <row r="1005" spans="13:41">
      <c r="M1005"/>
      <c r="R1005"/>
      <c r="V1005"/>
      <c r="Y1005"/>
      <c r="AD1005"/>
      <c r="AM1005"/>
      <c r="AO1005"/>
    </row>
    <row r="1006" spans="13:41">
      <c r="M1006"/>
      <c r="R1006"/>
      <c r="V1006"/>
      <c r="Y1006"/>
      <c r="AD1006"/>
      <c r="AM1006"/>
      <c r="AO1006"/>
    </row>
    <row r="1007" spans="13:41">
      <c r="M1007"/>
      <c r="R1007"/>
      <c r="V1007"/>
      <c r="Y1007"/>
      <c r="AD1007"/>
      <c r="AM1007"/>
      <c r="AO1007"/>
    </row>
    <row r="1008" spans="13:41">
      <c r="M1008"/>
      <c r="R1008"/>
      <c r="V1008"/>
      <c r="Y1008"/>
      <c r="AD1008"/>
      <c r="AM1008"/>
      <c r="AO1008"/>
    </row>
    <row r="1009" spans="13:41">
      <c r="M1009"/>
      <c r="R1009"/>
      <c r="V1009"/>
      <c r="Y1009"/>
      <c r="AD1009"/>
      <c r="AM1009"/>
      <c r="AO1009"/>
    </row>
    <row r="1010" spans="13:41">
      <c r="M1010"/>
      <c r="R1010"/>
      <c r="V1010"/>
      <c r="Y1010"/>
      <c r="AD1010"/>
      <c r="AM1010"/>
      <c r="AO1010"/>
    </row>
    <row r="1011" spans="13:41">
      <c r="M1011"/>
      <c r="R1011"/>
      <c r="V1011"/>
      <c r="Y1011"/>
      <c r="AD1011"/>
      <c r="AM1011"/>
      <c r="AO1011"/>
    </row>
    <row r="1012" spans="13:41">
      <c r="M1012"/>
      <c r="R1012"/>
      <c r="V1012"/>
      <c r="Y1012"/>
      <c r="AD1012"/>
      <c r="AM1012"/>
      <c r="AO1012"/>
    </row>
    <row r="1013" spans="13:41">
      <c r="M1013"/>
      <c r="R1013"/>
      <c r="V1013"/>
      <c r="Y1013"/>
      <c r="AD1013"/>
      <c r="AM1013"/>
      <c r="AO1013"/>
    </row>
    <row r="1014" spans="13:41">
      <c r="M1014"/>
      <c r="R1014"/>
      <c r="V1014"/>
      <c r="Y1014"/>
      <c r="AD1014"/>
      <c r="AM1014"/>
      <c r="AO1014"/>
    </row>
    <row r="1015" spans="13:41">
      <c r="M1015"/>
      <c r="R1015"/>
      <c r="V1015"/>
      <c r="Y1015"/>
      <c r="AD1015"/>
      <c r="AM1015"/>
      <c r="AO1015"/>
    </row>
    <row r="1016" spans="13:41">
      <c r="M1016"/>
      <c r="R1016"/>
      <c r="V1016"/>
      <c r="Y1016"/>
      <c r="AD1016"/>
      <c r="AM1016"/>
      <c r="AO1016"/>
    </row>
    <row r="1017" spans="13:41">
      <c r="M1017"/>
      <c r="R1017"/>
      <c r="V1017"/>
      <c r="Y1017"/>
      <c r="AD1017"/>
      <c r="AM1017"/>
      <c r="AO1017"/>
    </row>
    <row r="1018" spans="13:41">
      <c r="M1018"/>
      <c r="R1018"/>
      <c r="V1018"/>
      <c r="Y1018"/>
      <c r="AD1018"/>
      <c r="AM1018"/>
      <c r="AO1018"/>
    </row>
    <row r="1019" spans="13:41">
      <c r="M1019"/>
      <c r="R1019"/>
      <c r="V1019"/>
      <c r="Y1019"/>
      <c r="AD1019"/>
      <c r="AM1019"/>
      <c r="AO1019"/>
    </row>
    <row r="1020" spans="13:41">
      <c r="M1020"/>
      <c r="R1020"/>
      <c r="V1020"/>
      <c r="Y1020"/>
      <c r="AD1020"/>
      <c r="AM1020"/>
      <c r="AO1020"/>
    </row>
    <row r="1021" spans="13:41">
      <c r="M1021"/>
      <c r="R1021"/>
      <c r="V1021"/>
      <c r="Y1021"/>
      <c r="AD1021"/>
      <c r="AM1021"/>
      <c r="AO1021"/>
    </row>
    <row r="1022" spans="13:41">
      <c r="M1022"/>
      <c r="R1022"/>
      <c r="V1022"/>
      <c r="Y1022"/>
      <c r="AD1022"/>
      <c r="AM1022"/>
      <c r="AO1022"/>
    </row>
    <row r="1023" spans="13:41">
      <c r="M1023"/>
      <c r="R1023"/>
      <c r="V1023"/>
      <c r="Y1023"/>
      <c r="AD1023"/>
      <c r="AM1023"/>
      <c r="AO1023"/>
    </row>
    <row r="1024" spans="13:41">
      <c r="M1024"/>
      <c r="R1024"/>
      <c r="V1024"/>
      <c r="Y1024"/>
      <c r="AD1024"/>
      <c r="AM1024"/>
      <c r="AO1024"/>
    </row>
    <row r="1025" spans="13:41">
      <c r="M1025"/>
      <c r="R1025"/>
      <c r="V1025"/>
      <c r="Y1025"/>
      <c r="AD1025"/>
      <c r="AM1025"/>
      <c r="AO1025"/>
    </row>
    <row r="1026" spans="13:41">
      <c r="M1026"/>
      <c r="R1026"/>
      <c r="V1026"/>
      <c r="Y1026"/>
      <c r="AD1026"/>
      <c r="AM1026"/>
      <c r="AO1026"/>
    </row>
    <row r="1027" spans="13:41">
      <c r="M1027"/>
      <c r="R1027"/>
      <c r="V1027"/>
      <c r="Y1027"/>
      <c r="AD1027"/>
      <c r="AM1027"/>
      <c r="AO1027"/>
    </row>
    <row r="1028" spans="13:41">
      <c r="M1028"/>
      <c r="R1028"/>
      <c r="V1028"/>
      <c r="Y1028"/>
      <c r="AD1028"/>
      <c r="AM1028"/>
      <c r="AO1028"/>
    </row>
    <row r="1029" spans="13:41">
      <c r="M1029"/>
      <c r="R1029"/>
      <c r="V1029"/>
      <c r="Y1029"/>
      <c r="AD1029"/>
      <c r="AM1029"/>
      <c r="AO1029"/>
    </row>
    <row r="1030" spans="13:41">
      <c r="M1030"/>
      <c r="R1030"/>
      <c r="V1030"/>
      <c r="Y1030"/>
      <c r="AD1030"/>
      <c r="AM1030"/>
      <c r="AO1030"/>
    </row>
    <row r="1031" spans="13:41">
      <c r="M1031"/>
      <c r="R1031"/>
      <c r="V1031"/>
      <c r="Y1031"/>
      <c r="AD1031"/>
      <c r="AM1031"/>
      <c r="AO1031"/>
    </row>
    <row r="1032" spans="13:41">
      <c r="M1032"/>
      <c r="R1032"/>
      <c r="V1032"/>
      <c r="Y1032"/>
      <c r="AD1032"/>
      <c r="AM1032"/>
      <c r="AO1032"/>
    </row>
    <row r="1033" spans="13:41">
      <c r="M1033"/>
      <c r="R1033"/>
      <c r="V1033"/>
      <c r="Y1033"/>
      <c r="AD1033"/>
      <c r="AM1033"/>
      <c r="AO1033"/>
    </row>
    <row r="1034" spans="13:41">
      <c r="M1034"/>
      <c r="R1034"/>
      <c r="V1034"/>
      <c r="Y1034"/>
      <c r="AD1034"/>
      <c r="AM1034"/>
      <c r="AO1034"/>
    </row>
    <row r="1035" spans="13:41">
      <c r="M1035"/>
      <c r="R1035"/>
      <c r="V1035"/>
      <c r="Y1035"/>
      <c r="AD1035"/>
      <c r="AM1035"/>
      <c r="AO1035"/>
    </row>
    <row r="1036" spans="13:41">
      <c r="M1036"/>
      <c r="R1036"/>
      <c r="V1036"/>
      <c r="Y1036"/>
      <c r="AD1036"/>
      <c r="AM1036"/>
      <c r="AO1036"/>
    </row>
    <row r="1037" spans="13:41">
      <c r="M1037"/>
      <c r="R1037"/>
      <c r="V1037"/>
      <c r="Y1037"/>
      <c r="AD1037"/>
      <c r="AM1037"/>
      <c r="AO1037"/>
    </row>
    <row r="1038" spans="13:41">
      <c r="M1038"/>
      <c r="R1038"/>
      <c r="V1038"/>
      <c r="Y1038"/>
      <c r="AD1038"/>
      <c r="AM1038"/>
      <c r="AO1038"/>
    </row>
    <row r="1039" spans="13:41">
      <c r="M1039"/>
      <c r="R1039"/>
      <c r="V1039"/>
      <c r="Y1039"/>
      <c r="AD1039"/>
      <c r="AM1039"/>
      <c r="AO1039"/>
    </row>
    <row r="1040" spans="13:41">
      <c r="M1040"/>
      <c r="R1040"/>
      <c r="V1040"/>
      <c r="Y1040"/>
      <c r="AD1040"/>
      <c r="AM1040"/>
      <c r="AO1040"/>
    </row>
    <row r="1041" spans="13:41">
      <c r="M1041"/>
      <c r="R1041"/>
      <c r="V1041"/>
      <c r="Y1041"/>
      <c r="AD1041"/>
      <c r="AM1041"/>
      <c r="AO1041"/>
    </row>
    <row r="1042" spans="13:41">
      <c r="M1042"/>
      <c r="R1042"/>
      <c r="V1042"/>
      <c r="Y1042"/>
      <c r="AD1042"/>
      <c r="AM1042"/>
      <c r="AO1042"/>
    </row>
    <row r="1043" spans="13:41">
      <c r="M1043"/>
      <c r="R1043"/>
      <c r="V1043"/>
      <c r="Y1043"/>
      <c r="AD1043"/>
      <c r="AM1043"/>
      <c r="AO1043"/>
    </row>
    <row r="1044" spans="13:41">
      <c r="M1044"/>
      <c r="R1044"/>
      <c r="V1044"/>
      <c r="Y1044"/>
      <c r="AD1044"/>
      <c r="AM1044"/>
      <c r="AO1044"/>
    </row>
    <row r="1045" spans="13:41">
      <c r="M1045"/>
      <c r="R1045"/>
      <c r="V1045"/>
      <c r="Y1045"/>
      <c r="AD1045"/>
      <c r="AM1045"/>
      <c r="AO1045"/>
    </row>
    <row r="1046" spans="13:41">
      <c r="M1046"/>
      <c r="R1046"/>
      <c r="V1046"/>
      <c r="Y1046"/>
      <c r="AD1046"/>
      <c r="AM1046"/>
      <c r="AO1046"/>
    </row>
    <row r="1047" spans="13:41">
      <c r="M1047"/>
      <c r="R1047"/>
      <c r="V1047"/>
      <c r="Y1047"/>
      <c r="AD1047"/>
      <c r="AM1047"/>
      <c r="AO1047"/>
    </row>
    <row r="1048" spans="13:41">
      <c r="M1048"/>
      <c r="R1048"/>
      <c r="V1048"/>
      <c r="Y1048"/>
      <c r="AD1048"/>
      <c r="AM1048"/>
      <c r="AO1048"/>
    </row>
    <row r="1049" spans="13:41">
      <c r="M1049"/>
      <c r="R1049"/>
      <c r="V1049"/>
      <c r="Y1049"/>
      <c r="AD1049"/>
      <c r="AM1049"/>
      <c r="AO1049"/>
    </row>
    <row r="1050" spans="13:41">
      <c r="M1050"/>
      <c r="R1050"/>
      <c r="V1050"/>
      <c r="Y1050"/>
      <c r="AD1050"/>
      <c r="AM1050"/>
      <c r="AO1050"/>
    </row>
    <row r="1051" spans="13:41">
      <c r="M1051"/>
      <c r="R1051"/>
      <c r="V1051"/>
      <c r="Y1051"/>
      <c r="AD1051"/>
      <c r="AM1051"/>
      <c r="AO1051"/>
    </row>
    <row r="1052" spans="13:41">
      <c r="M1052"/>
      <c r="R1052"/>
      <c r="V1052"/>
      <c r="Y1052"/>
      <c r="AD1052"/>
      <c r="AM1052"/>
      <c r="AO1052"/>
    </row>
    <row r="1053" spans="13:41">
      <c r="M1053"/>
      <c r="R1053"/>
      <c r="V1053"/>
      <c r="Y1053"/>
      <c r="AD1053"/>
      <c r="AM1053"/>
      <c r="AO1053"/>
    </row>
    <row r="1054" spans="13:41">
      <c r="M1054"/>
      <c r="R1054"/>
      <c r="V1054"/>
      <c r="Y1054"/>
      <c r="AD1054"/>
      <c r="AM1054"/>
      <c r="AO1054"/>
    </row>
    <row r="1055" spans="13:41">
      <c r="M1055"/>
      <c r="R1055"/>
      <c r="V1055"/>
      <c r="Y1055"/>
      <c r="AD1055"/>
      <c r="AM1055"/>
      <c r="AO1055"/>
    </row>
    <row r="1056" spans="13:41">
      <c r="M1056"/>
      <c r="R1056"/>
      <c r="V1056"/>
      <c r="Y1056"/>
      <c r="AD1056"/>
      <c r="AM1056"/>
      <c r="AO1056"/>
    </row>
    <row r="1057" spans="13:41">
      <c r="M1057"/>
      <c r="R1057"/>
      <c r="V1057"/>
      <c r="Y1057"/>
      <c r="AD1057"/>
      <c r="AM1057"/>
      <c r="AO1057"/>
    </row>
    <row r="1058" spans="13:41">
      <c r="M1058"/>
      <c r="R1058"/>
      <c r="V1058"/>
      <c r="Y1058"/>
      <c r="AD1058"/>
      <c r="AM1058"/>
      <c r="AO1058"/>
    </row>
    <row r="1059" spans="13:41">
      <c r="M1059"/>
      <c r="R1059"/>
      <c r="V1059"/>
      <c r="Y1059"/>
      <c r="AD1059"/>
      <c r="AM1059"/>
      <c r="AO1059"/>
    </row>
    <row r="1060" spans="13:41">
      <c r="M1060"/>
      <c r="R1060"/>
      <c r="V1060"/>
      <c r="Y1060"/>
      <c r="AD1060"/>
      <c r="AM1060"/>
      <c r="AO1060"/>
    </row>
    <row r="1061" spans="13:41">
      <c r="M1061"/>
      <c r="R1061"/>
      <c r="V1061"/>
      <c r="Y1061"/>
      <c r="AD1061"/>
      <c r="AM1061"/>
      <c r="AO1061"/>
    </row>
    <row r="1062" spans="13:41">
      <c r="M1062"/>
      <c r="R1062"/>
      <c r="V1062"/>
      <c r="Y1062"/>
      <c r="AD1062"/>
      <c r="AM1062"/>
      <c r="AO1062"/>
    </row>
    <row r="1063" spans="13:41">
      <c r="M1063"/>
      <c r="R1063"/>
      <c r="V1063"/>
      <c r="Y1063"/>
      <c r="AD1063"/>
      <c r="AM1063"/>
      <c r="AO1063"/>
    </row>
    <row r="1064" spans="13:41">
      <c r="M1064"/>
      <c r="R1064"/>
      <c r="V1064"/>
      <c r="Y1064"/>
      <c r="AD1064"/>
      <c r="AM1064"/>
      <c r="AO1064"/>
    </row>
    <row r="1065" spans="13:41">
      <c r="M1065"/>
      <c r="R1065"/>
      <c r="V1065"/>
      <c r="Y1065"/>
      <c r="AD1065"/>
      <c r="AM1065"/>
      <c r="AO1065"/>
    </row>
    <row r="1066" spans="13:41">
      <c r="M1066"/>
      <c r="R1066"/>
      <c r="V1066"/>
      <c r="Y1066"/>
      <c r="AD1066"/>
      <c r="AM1066"/>
      <c r="AO1066"/>
    </row>
    <row r="1067" spans="13:41">
      <c r="M1067"/>
      <c r="R1067"/>
      <c r="V1067"/>
      <c r="Y1067"/>
      <c r="AD1067"/>
      <c r="AM1067"/>
      <c r="AO1067"/>
    </row>
    <row r="1068" spans="13:41">
      <c r="M1068"/>
      <c r="R1068"/>
      <c r="V1068"/>
      <c r="Y1068"/>
      <c r="AD1068"/>
      <c r="AM1068"/>
      <c r="AO1068"/>
    </row>
    <row r="1069" spans="13:41">
      <c r="M1069"/>
      <c r="R1069"/>
      <c r="V1069"/>
      <c r="Y1069"/>
      <c r="AD1069"/>
      <c r="AM1069"/>
      <c r="AO1069"/>
    </row>
    <row r="1070" spans="13:41">
      <c r="M1070"/>
      <c r="R1070"/>
      <c r="V1070"/>
      <c r="Y1070"/>
      <c r="AD1070"/>
      <c r="AM1070"/>
      <c r="AO1070"/>
    </row>
    <row r="1071" spans="13:41">
      <c r="M1071"/>
      <c r="R1071"/>
      <c r="V1071"/>
      <c r="Y1071"/>
      <c r="AD1071"/>
      <c r="AM1071"/>
      <c r="AO1071"/>
    </row>
    <row r="1072" spans="13:41">
      <c r="M1072"/>
      <c r="R1072"/>
      <c r="V1072"/>
      <c r="Y1072"/>
      <c r="AD1072"/>
      <c r="AM1072"/>
      <c r="AO1072"/>
    </row>
    <row r="1073" spans="13:41">
      <c r="M1073"/>
      <c r="R1073"/>
      <c r="V1073"/>
      <c r="Y1073"/>
      <c r="AD1073"/>
      <c r="AM1073"/>
      <c r="AO1073"/>
    </row>
    <row r="1074" spans="13:41">
      <c r="M1074"/>
      <c r="R1074"/>
      <c r="V1074"/>
      <c r="Y1074"/>
      <c r="AD1074"/>
      <c r="AM1074"/>
      <c r="AO1074"/>
    </row>
    <row r="1075" spans="13:41">
      <c r="M1075"/>
      <c r="R1075"/>
      <c r="V1075"/>
      <c r="Y1075"/>
      <c r="AD1075"/>
      <c r="AM1075"/>
      <c r="AO1075"/>
    </row>
    <row r="1076" spans="13:41">
      <c r="M1076"/>
      <c r="R1076"/>
      <c r="V1076"/>
      <c r="Y1076"/>
      <c r="AD1076"/>
      <c r="AM1076"/>
      <c r="AO1076"/>
    </row>
    <row r="1077" spans="13:41">
      <c r="M1077"/>
      <c r="R1077"/>
      <c r="V1077"/>
      <c r="Y1077"/>
      <c r="AD1077"/>
      <c r="AM1077"/>
      <c r="AO1077"/>
    </row>
    <row r="1078" spans="13:41">
      <c r="M1078"/>
      <c r="R1078"/>
      <c r="V1078"/>
      <c r="Y1078"/>
      <c r="AD1078"/>
      <c r="AM1078"/>
      <c r="AO1078"/>
    </row>
    <row r="1079" spans="13:41">
      <c r="M1079"/>
      <c r="R1079"/>
      <c r="V1079"/>
      <c r="Y1079"/>
      <c r="AD1079"/>
      <c r="AM1079"/>
      <c r="AO1079"/>
    </row>
    <row r="1080" spans="13:41">
      <c r="M1080"/>
      <c r="R1080"/>
      <c r="V1080"/>
      <c r="Y1080"/>
      <c r="AD1080"/>
      <c r="AM1080"/>
      <c r="AO1080"/>
    </row>
    <row r="1081" spans="13:41">
      <c r="M1081"/>
      <c r="R1081"/>
      <c r="V1081"/>
      <c r="Y1081"/>
      <c r="AD1081"/>
      <c r="AM1081"/>
      <c r="AO1081"/>
    </row>
    <row r="1082" spans="13:41">
      <c r="M1082"/>
      <c r="R1082"/>
      <c r="V1082"/>
      <c r="Y1082"/>
      <c r="AD1082"/>
      <c r="AM1082"/>
      <c r="AO1082"/>
    </row>
    <row r="1083" spans="13:41">
      <c r="M1083"/>
      <c r="R1083"/>
      <c r="V1083"/>
      <c r="Y1083"/>
      <c r="AD1083"/>
      <c r="AM1083"/>
      <c r="AO1083"/>
    </row>
    <row r="1084" spans="13:41">
      <c r="M1084"/>
      <c r="R1084"/>
      <c r="V1084"/>
      <c r="Y1084"/>
      <c r="AD1084"/>
      <c r="AM1084"/>
      <c r="AO1084"/>
    </row>
    <row r="1085" spans="13:41">
      <c r="M1085"/>
      <c r="R1085"/>
      <c r="V1085"/>
      <c r="Y1085"/>
      <c r="AD1085"/>
      <c r="AM1085"/>
      <c r="AO1085"/>
    </row>
    <row r="1086" spans="13:41">
      <c r="M1086"/>
      <c r="R1086"/>
      <c r="V1086"/>
      <c r="Y1086"/>
      <c r="AD1086"/>
      <c r="AM1086"/>
      <c r="AO1086"/>
    </row>
    <row r="1087" spans="13:41">
      <c r="M1087"/>
      <c r="R1087"/>
      <c r="V1087"/>
      <c r="Y1087"/>
      <c r="AD1087"/>
      <c r="AM1087"/>
      <c r="AO1087"/>
    </row>
    <row r="1088" spans="13:41">
      <c r="M1088"/>
      <c r="R1088"/>
      <c r="V1088"/>
      <c r="Y1088"/>
      <c r="AD1088"/>
      <c r="AM1088"/>
      <c r="AO1088"/>
    </row>
    <row r="1089" spans="13:41">
      <c r="M1089"/>
      <c r="R1089"/>
      <c r="V1089"/>
      <c r="Y1089"/>
      <c r="AD1089"/>
      <c r="AM1089"/>
      <c r="AO1089"/>
    </row>
    <row r="1090" spans="13:41">
      <c r="M1090"/>
      <c r="R1090"/>
      <c r="V1090"/>
      <c r="Y1090"/>
      <c r="AD1090"/>
      <c r="AM1090"/>
      <c r="AO1090"/>
    </row>
    <row r="1091" spans="13:41">
      <c r="M1091"/>
      <c r="R1091"/>
      <c r="V1091"/>
      <c r="Y1091"/>
      <c r="AD1091"/>
      <c r="AM1091"/>
      <c r="AO1091"/>
    </row>
    <row r="1092" spans="13:41">
      <c r="M1092"/>
      <c r="R1092"/>
      <c r="V1092"/>
      <c r="Y1092"/>
      <c r="AD1092"/>
      <c r="AM1092"/>
      <c r="AO1092"/>
    </row>
    <row r="1093" spans="13:41">
      <c r="M1093"/>
      <c r="R1093"/>
      <c r="V1093"/>
      <c r="Y1093"/>
      <c r="AD1093"/>
      <c r="AM1093"/>
      <c r="AO1093"/>
    </row>
    <row r="1094" spans="13:41">
      <c r="M1094"/>
      <c r="R1094"/>
      <c r="V1094"/>
      <c r="Y1094"/>
      <c r="AD1094"/>
      <c r="AM1094"/>
      <c r="AO1094"/>
    </row>
    <row r="1095" spans="13:41">
      <c r="M1095"/>
      <c r="R1095"/>
      <c r="V1095"/>
      <c r="Y1095"/>
      <c r="AD1095"/>
      <c r="AM1095"/>
      <c r="AO1095"/>
    </row>
    <row r="1096" spans="13:41">
      <c r="M1096"/>
      <c r="R1096"/>
      <c r="V1096"/>
      <c r="Y1096"/>
      <c r="AD1096"/>
      <c r="AM1096"/>
      <c r="AO1096"/>
    </row>
    <row r="1097" spans="13:41">
      <c r="M1097"/>
      <c r="R1097"/>
      <c r="V1097"/>
      <c r="Y1097"/>
      <c r="AD1097"/>
      <c r="AM1097"/>
      <c r="AO1097"/>
    </row>
    <row r="1098" spans="13:41">
      <c r="M1098"/>
      <c r="R1098"/>
      <c r="V1098"/>
      <c r="Y1098"/>
      <c r="AD1098"/>
      <c r="AM1098"/>
      <c r="AO1098"/>
    </row>
    <row r="1099" spans="13:41">
      <c r="M1099"/>
      <c r="R1099"/>
      <c r="V1099"/>
      <c r="Y1099"/>
      <c r="AD1099"/>
      <c r="AM1099"/>
      <c r="AO1099"/>
    </row>
    <row r="1100" spans="13:41">
      <c r="M1100"/>
      <c r="R1100"/>
      <c r="V1100"/>
      <c r="Y1100"/>
      <c r="AD1100"/>
      <c r="AM1100"/>
      <c r="AO1100"/>
    </row>
    <row r="1101" spans="13:41">
      <c r="M1101"/>
      <c r="R1101"/>
      <c r="V1101"/>
      <c r="Y1101"/>
      <c r="AD1101"/>
      <c r="AM1101"/>
      <c r="AO1101"/>
    </row>
    <row r="1102" spans="13:41">
      <c r="M1102"/>
      <c r="R1102"/>
      <c r="V1102"/>
      <c r="Y1102"/>
      <c r="AD1102"/>
      <c r="AM1102"/>
      <c r="AO1102"/>
    </row>
    <row r="1103" spans="13:41">
      <c r="M1103"/>
      <c r="R1103"/>
      <c r="V1103"/>
      <c r="Y1103"/>
      <c r="AD1103"/>
      <c r="AM1103"/>
      <c r="AO1103"/>
    </row>
    <row r="1104" spans="13:41">
      <c r="M1104"/>
      <c r="R1104"/>
      <c r="V1104"/>
      <c r="Y1104"/>
      <c r="AD1104"/>
      <c r="AM1104"/>
      <c r="AO1104"/>
    </row>
    <row r="1105" spans="13:41">
      <c r="M1105"/>
      <c r="R1105"/>
      <c r="V1105"/>
      <c r="Y1105"/>
      <c r="AD1105"/>
      <c r="AM1105"/>
      <c r="AO1105"/>
    </row>
    <row r="1106" spans="13:41">
      <c r="M1106"/>
      <c r="R1106"/>
      <c r="V1106"/>
      <c r="Y1106"/>
      <c r="AD1106"/>
      <c r="AM1106"/>
      <c r="AO1106"/>
    </row>
    <row r="1107" spans="13:41">
      <c r="M1107"/>
      <c r="R1107"/>
      <c r="V1107"/>
      <c r="Y1107"/>
      <c r="AD1107"/>
      <c r="AM1107"/>
      <c r="AO1107"/>
    </row>
    <row r="1108" spans="13:41">
      <c r="M1108"/>
      <c r="R1108"/>
      <c r="V1108"/>
      <c r="Y1108"/>
      <c r="AD1108"/>
      <c r="AM1108"/>
      <c r="AO1108"/>
    </row>
    <row r="1109" spans="13:41">
      <c r="M1109"/>
      <c r="R1109"/>
      <c r="V1109"/>
      <c r="Y1109"/>
      <c r="AD1109"/>
      <c r="AM1109"/>
      <c r="AO1109"/>
    </row>
    <row r="1110" spans="13:41">
      <c r="M1110"/>
      <c r="R1110"/>
      <c r="V1110"/>
      <c r="Y1110"/>
      <c r="AD1110"/>
      <c r="AM1110"/>
      <c r="AO1110"/>
    </row>
    <row r="1111" spans="13:41">
      <c r="M1111"/>
      <c r="R1111"/>
      <c r="V1111"/>
      <c r="Y1111"/>
      <c r="AD1111"/>
      <c r="AM1111"/>
      <c r="AO1111"/>
    </row>
    <row r="1112" spans="13:41">
      <c r="M1112"/>
      <c r="R1112"/>
      <c r="V1112"/>
      <c r="Y1112"/>
      <c r="AD1112"/>
      <c r="AM1112"/>
      <c r="AO1112"/>
    </row>
    <row r="1113" spans="13:41">
      <c r="M1113"/>
      <c r="R1113"/>
      <c r="V1113"/>
      <c r="Y1113"/>
      <c r="AD1113"/>
      <c r="AM1113"/>
      <c r="AO1113"/>
    </row>
    <row r="1114" spans="13:41">
      <c r="M1114"/>
      <c r="R1114"/>
      <c r="V1114"/>
      <c r="Y1114"/>
      <c r="AD1114"/>
      <c r="AM1114"/>
      <c r="AO1114"/>
    </row>
    <row r="1115" spans="13:41">
      <c r="M1115"/>
      <c r="R1115"/>
      <c r="V1115"/>
      <c r="Y1115"/>
      <c r="AD1115"/>
      <c r="AM1115"/>
      <c r="AO1115"/>
    </row>
    <row r="1116" spans="13:41">
      <c r="M1116"/>
      <c r="R1116"/>
      <c r="V1116"/>
      <c r="Y1116"/>
      <c r="AD1116"/>
      <c r="AM1116"/>
      <c r="AO1116"/>
    </row>
    <row r="1117" spans="13:41">
      <c r="M1117"/>
      <c r="R1117"/>
      <c r="V1117"/>
      <c r="Y1117"/>
      <c r="AD1117"/>
      <c r="AM1117"/>
      <c r="AO1117"/>
    </row>
    <row r="1118" spans="13:41">
      <c r="M1118"/>
      <c r="R1118"/>
      <c r="V1118"/>
      <c r="Y1118"/>
      <c r="AD1118"/>
      <c r="AM1118"/>
      <c r="AO1118"/>
    </row>
    <row r="1119" spans="13:41">
      <c r="M1119"/>
      <c r="R1119"/>
      <c r="V1119"/>
      <c r="Y1119"/>
      <c r="AD1119"/>
      <c r="AM1119"/>
      <c r="AO1119"/>
    </row>
    <row r="1120" spans="13:41">
      <c r="M1120"/>
      <c r="R1120"/>
      <c r="V1120"/>
      <c r="Y1120"/>
      <c r="AD1120"/>
      <c r="AM1120"/>
      <c r="AO1120"/>
    </row>
    <row r="1121" spans="13:41">
      <c r="M1121"/>
      <c r="R1121"/>
      <c r="V1121"/>
      <c r="Y1121"/>
      <c r="AD1121"/>
      <c r="AM1121"/>
      <c r="AO1121"/>
    </row>
    <row r="1122" spans="13:41">
      <c r="M1122"/>
      <c r="R1122"/>
      <c r="V1122"/>
      <c r="Y1122"/>
      <c r="AD1122"/>
      <c r="AM1122"/>
      <c r="AO1122"/>
    </row>
    <row r="1123" spans="13:41">
      <c r="M1123"/>
      <c r="R1123"/>
      <c r="V1123"/>
      <c r="Y1123"/>
      <c r="AD1123"/>
      <c r="AM1123"/>
      <c r="AO1123"/>
    </row>
    <row r="1124" spans="13:41">
      <c r="M1124"/>
      <c r="R1124"/>
      <c r="V1124"/>
      <c r="Y1124"/>
      <c r="AD1124"/>
      <c r="AM1124"/>
      <c r="AO1124"/>
    </row>
    <row r="1125" spans="13:41">
      <c r="M1125"/>
      <c r="R1125"/>
      <c r="V1125"/>
      <c r="Y1125"/>
      <c r="AD1125"/>
      <c r="AM1125"/>
      <c r="AO1125"/>
    </row>
    <row r="1126" spans="13:41">
      <c r="M1126"/>
      <c r="R1126"/>
      <c r="V1126"/>
      <c r="Y1126"/>
      <c r="AD1126"/>
      <c r="AM1126"/>
      <c r="AO1126"/>
    </row>
    <row r="1127" spans="13:41">
      <c r="M1127"/>
      <c r="R1127"/>
      <c r="V1127"/>
      <c r="Y1127"/>
      <c r="AD1127"/>
      <c r="AM1127"/>
      <c r="AO1127"/>
    </row>
    <row r="1128" spans="13:41">
      <c r="M1128"/>
      <c r="R1128"/>
      <c r="V1128"/>
      <c r="Y1128"/>
      <c r="AD1128"/>
      <c r="AM1128"/>
      <c r="AO1128"/>
    </row>
    <row r="1129" spans="13:41">
      <c r="M1129"/>
      <c r="R1129"/>
      <c r="V1129"/>
      <c r="Y1129"/>
      <c r="AD1129"/>
      <c r="AM1129"/>
      <c r="AO1129"/>
    </row>
    <row r="1130" spans="13:41">
      <c r="M1130"/>
      <c r="R1130"/>
      <c r="V1130"/>
      <c r="Y1130"/>
      <c r="AD1130"/>
      <c r="AM1130"/>
      <c r="AO1130"/>
    </row>
    <row r="1131" spans="13:41">
      <c r="M1131"/>
      <c r="R1131"/>
      <c r="V1131"/>
      <c r="Y1131"/>
      <c r="AD1131"/>
      <c r="AM1131"/>
      <c r="AO1131"/>
    </row>
    <row r="1132" spans="13:41">
      <c r="M1132"/>
      <c r="R1132"/>
      <c r="V1132"/>
      <c r="Y1132"/>
      <c r="AD1132"/>
      <c r="AM1132"/>
      <c r="AO1132"/>
    </row>
    <row r="1133" spans="13:41">
      <c r="M1133"/>
      <c r="R1133"/>
      <c r="V1133"/>
      <c r="Y1133"/>
      <c r="AD1133"/>
      <c r="AM1133"/>
      <c r="AO1133"/>
    </row>
    <row r="1134" spans="13:41">
      <c r="M1134"/>
      <c r="R1134"/>
      <c r="V1134"/>
      <c r="Y1134"/>
      <c r="AD1134"/>
      <c r="AM1134"/>
      <c r="AO1134"/>
    </row>
    <row r="1135" spans="13:41">
      <c r="M1135"/>
      <c r="R1135"/>
      <c r="V1135"/>
      <c r="Y1135"/>
      <c r="AD1135"/>
      <c r="AM1135"/>
      <c r="AO1135"/>
    </row>
    <row r="1136" spans="13:41">
      <c r="M1136"/>
      <c r="R1136"/>
      <c r="V1136"/>
      <c r="Y1136"/>
      <c r="AD1136"/>
      <c r="AM1136"/>
      <c r="AO1136"/>
    </row>
    <row r="1137" spans="13:41">
      <c r="M1137"/>
      <c r="R1137"/>
      <c r="V1137"/>
      <c r="Y1137"/>
      <c r="AD1137"/>
      <c r="AM1137"/>
      <c r="AO1137"/>
    </row>
    <row r="1138" spans="13:41">
      <c r="M1138"/>
      <c r="R1138"/>
      <c r="V1138"/>
      <c r="Y1138"/>
      <c r="AD1138"/>
      <c r="AM1138"/>
      <c r="AO1138"/>
    </row>
    <row r="1139" spans="13:41">
      <c r="M1139"/>
      <c r="R1139"/>
      <c r="V1139"/>
      <c r="Y1139"/>
      <c r="AD1139"/>
      <c r="AM1139"/>
      <c r="AO1139"/>
    </row>
    <row r="1140" spans="13:41">
      <c r="M1140"/>
      <c r="R1140"/>
      <c r="V1140"/>
      <c r="Y1140"/>
      <c r="AD1140"/>
      <c r="AM1140"/>
      <c r="AO1140"/>
    </row>
    <row r="1141" spans="13:41">
      <c r="M1141"/>
      <c r="R1141"/>
      <c r="V1141"/>
      <c r="Y1141"/>
      <c r="AD1141"/>
      <c r="AM1141"/>
      <c r="AO1141"/>
    </row>
    <row r="1142" spans="13:41">
      <c r="M1142"/>
      <c r="R1142"/>
      <c r="V1142"/>
      <c r="Y1142"/>
      <c r="AD1142"/>
      <c r="AM1142"/>
      <c r="AO1142"/>
    </row>
    <row r="1143" spans="13:41">
      <c r="M1143"/>
      <c r="R1143"/>
      <c r="V1143"/>
      <c r="Y1143"/>
      <c r="AD1143"/>
      <c r="AM1143"/>
      <c r="AO1143"/>
    </row>
    <row r="1144" spans="13:41">
      <c r="M1144"/>
      <c r="R1144"/>
      <c r="V1144"/>
      <c r="Y1144"/>
      <c r="AD1144"/>
      <c r="AM1144"/>
      <c r="AO1144"/>
    </row>
    <row r="1145" spans="13:41">
      <c r="M1145"/>
      <c r="R1145"/>
      <c r="V1145"/>
      <c r="Y1145"/>
      <c r="AD1145"/>
      <c r="AM1145"/>
      <c r="AO1145"/>
    </row>
    <row r="1146" spans="13:41">
      <c r="M1146"/>
      <c r="R1146"/>
      <c r="V1146"/>
      <c r="Y1146"/>
      <c r="AD1146"/>
      <c r="AM1146"/>
      <c r="AO1146"/>
    </row>
    <row r="1147" spans="13:41">
      <c r="M1147"/>
      <c r="R1147"/>
      <c r="V1147"/>
      <c r="Y1147"/>
      <c r="AD1147"/>
      <c r="AM1147"/>
      <c r="AO1147"/>
    </row>
    <row r="1148" spans="13:41">
      <c r="M1148"/>
      <c r="R1148"/>
      <c r="V1148"/>
      <c r="Y1148"/>
      <c r="AD1148"/>
      <c r="AM1148"/>
      <c r="AO1148"/>
    </row>
    <row r="1149" spans="13:41">
      <c r="M1149"/>
      <c r="R1149"/>
      <c r="V1149"/>
      <c r="Y1149"/>
      <c r="AD1149"/>
      <c r="AM1149"/>
      <c r="AO1149"/>
    </row>
    <row r="1150" spans="13:41">
      <c r="M1150"/>
      <c r="R1150"/>
      <c r="V1150"/>
      <c r="Y1150"/>
      <c r="AD1150"/>
      <c r="AM1150"/>
      <c r="AO1150"/>
    </row>
    <row r="1151" spans="13:41">
      <c r="M1151"/>
      <c r="R1151"/>
      <c r="V1151"/>
      <c r="Y1151"/>
      <c r="AD1151"/>
      <c r="AM1151"/>
      <c r="AO1151"/>
    </row>
    <row r="1152" spans="13:41">
      <c r="M1152"/>
      <c r="R1152"/>
      <c r="V1152"/>
      <c r="Y1152"/>
      <c r="AD1152"/>
      <c r="AM1152"/>
      <c r="AO1152"/>
    </row>
    <row r="1153" spans="13:41">
      <c r="M1153"/>
      <c r="R1153"/>
      <c r="V1153"/>
      <c r="Y1153"/>
      <c r="AD1153"/>
      <c r="AM1153"/>
      <c r="AO1153"/>
    </row>
    <row r="1154" spans="13:41">
      <c r="M1154"/>
      <c r="R1154"/>
      <c r="V1154"/>
      <c r="Y1154"/>
      <c r="AD1154"/>
      <c r="AM1154"/>
      <c r="AO1154"/>
    </row>
    <row r="1155" spans="13:41">
      <c r="M1155"/>
      <c r="R1155"/>
      <c r="V1155"/>
      <c r="Y1155"/>
      <c r="AD1155"/>
      <c r="AM1155"/>
      <c r="AO1155"/>
    </row>
    <row r="1156" spans="13:41">
      <c r="M1156"/>
      <c r="R1156"/>
      <c r="V1156"/>
      <c r="Y1156"/>
      <c r="AD1156"/>
      <c r="AM1156"/>
      <c r="AO1156"/>
    </row>
    <row r="1157" spans="13:41">
      <c r="M1157"/>
      <c r="R1157"/>
      <c r="V1157"/>
      <c r="Y1157"/>
      <c r="AD1157"/>
      <c r="AM1157"/>
      <c r="AO1157"/>
    </row>
    <row r="1158" spans="13:41">
      <c r="M1158"/>
      <c r="R1158"/>
      <c r="V1158"/>
      <c r="Y1158"/>
      <c r="AD1158"/>
      <c r="AM1158"/>
      <c r="AO1158"/>
    </row>
    <row r="1159" spans="13:41">
      <c r="M1159"/>
      <c r="R1159"/>
      <c r="V1159"/>
      <c r="Y1159"/>
      <c r="AD1159"/>
      <c r="AM1159"/>
      <c r="AO1159"/>
    </row>
    <row r="1160" spans="13:41">
      <c r="M1160"/>
      <c r="R1160"/>
      <c r="V1160"/>
      <c r="Y1160"/>
      <c r="AD1160"/>
      <c r="AM1160"/>
      <c r="AO1160"/>
    </row>
    <row r="1161" spans="13:41">
      <c r="M1161"/>
      <c r="R1161"/>
      <c r="V1161"/>
      <c r="Y1161"/>
      <c r="AD1161"/>
      <c r="AM1161"/>
      <c r="AO1161"/>
    </row>
    <row r="1162" spans="13:41">
      <c r="M1162"/>
      <c r="R1162"/>
      <c r="V1162"/>
      <c r="Y1162"/>
      <c r="AD1162"/>
      <c r="AM1162"/>
      <c r="AO1162"/>
    </row>
    <row r="1163" spans="13:41">
      <c r="M1163"/>
      <c r="R1163"/>
      <c r="V1163"/>
      <c r="Y1163"/>
      <c r="AD1163"/>
      <c r="AM1163"/>
      <c r="AO1163"/>
    </row>
    <row r="1164" spans="13:41">
      <c r="M1164"/>
      <c r="R1164"/>
      <c r="V1164"/>
      <c r="Y1164"/>
      <c r="AD1164"/>
      <c r="AM1164"/>
      <c r="AO1164"/>
    </row>
    <row r="1165" spans="13:41">
      <c r="M1165"/>
      <c r="R1165"/>
      <c r="V1165"/>
      <c r="Y1165"/>
      <c r="AD1165"/>
      <c r="AM1165"/>
      <c r="AO1165"/>
    </row>
    <row r="1166" spans="13:41">
      <c r="M1166"/>
      <c r="R1166"/>
      <c r="V1166"/>
      <c r="Y1166"/>
      <c r="AD1166"/>
      <c r="AM1166"/>
      <c r="AO1166"/>
    </row>
    <row r="1167" spans="13:41">
      <c r="M1167"/>
      <c r="R1167"/>
      <c r="V1167"/>
      <c r="Y1167"/>
      <c r="AD1167"/>
      <c r="AM1167"/>
      <c r="AO1167"/>
    </row>
    <row r="1168" spans="13:41">
      <c r="M1168"/>
      <c r="R1168"/>
      <c r="V1168"/>
      <c r="Y1168"/>
      <c r="AD1168"/>
      <c r="AM1168"/>
      <c r="AO1168"/>
    </row>
    <row r="1169" spans="13:41">
      <c r="M1169"/>
      <c r="R1169"/>
      <c r="V1169"/>
      <c r="Y1169"/>
      <c r="AD1169"/>
      <c r="AM1169"/>
      <c r="AO1169"/>
    </row>
    <row r="1170" spans="13:41">
      <c r="M1170"/>
      <c r="R1170"/>
      <c r="V1170"/>
      <c r="Y1170"/>
      <c r="AD1170"/>
      <c r="AM1170"/>
      <c r="AO1170"/>
    </row>
    <row r="1171" spans="13:41">
      <c r="M1171"/>
      <c r="R1171"/>
      <c r="V1171"/>
      <c r="Y1171"/>
      <c r="AD1171"/>
      <c r="AM1171"/>
      <c r="AO1171"/>
    </row>
    <row r="1172" spans="13:41">
      <c r="M1172"/>
      <c r="R1172"/>
      <c r="V1172"/>
      <c r="Y1172"/>
      <c r="AD1172"/>
      <c r="AM1172"/>
      <c r="AO1172"/>
    </row>
    <row r="1173" spans="13:41">
      <c r="M1173"/>
      <c r="R1173"/>
      <c r="V1173"/>
      <c r="Y1173"/>
      <c r="AD1173"/>
      <c r="AM1173"/>
      <c r="AO1173"/>
    </row>
    <row r="1174" spans="13:41">
      <c r="M1174"/>
      <c r="R1174"/>
      <c r="V1174"/>
      <c r="Y1174"/>
      <c r="AD1174"/>
      <c r="AM1174"/>
      <c r="AO1174"/>
    </row>
    <row r="1175" spans="13:41">
      <c r="M1175"/>
      <c r="R1175"/>
      <c r="V1175"/>
      <c r="Y1175"/>
      <c r="AD1175"/>
      <c r="AM1175"/>
      <c r="AO1175"/>
    </row>
    <row r="1176" spans="13:41">
      <c r="M1176"/>
      <c r="R1176"/>
      <c r="V1176"/>
      <c r="Y1176"/>
      <c r="AD1176"/>
      <c r="AM1176"/>
      <c r="AO1176"/>
    </row>
    <row r="1177" spans="13:41">
      <c r="M1177"/>
      <c r="R1177"/>
      <c r="V1177"/>
      <c r="Y1177"/>
      <c r="AD1177"/>
      <c r="AM1177"/>
      <c r="AO1177"/>
    </row>
    <row r="1178" spans="13:41">
      <c r="M1178"/>
      <c r="R1178"/>
      <c r="V1178"/>
      <c r="Y1178"/>
      <c r="AD1178"/>
      <c r="AM1178"/>
      <c r="AO1178"/>
    </row>
    <row r="1179" spans="13:41">
      <c r="M1179"/>
      <c r="R1179"/>
      <c r="V1179"/>
      <c r="Y1179"/>
      <c r="AD1179"/>
      <c r="AM1179"/>
      <c r="AO1179"/>
    </row>
    <row r="1180" spans="13:41">
      <c r="M1180"/>
      <c r="R1180"/>
      <c r="V1180"/>
      <c r="Y1180"/>
      <c r="AD1180"/>
      <c r="AM1180"/>
      <c r="AO1180"/>
    </row>
    <row r="1181" spans="13:41">
      <c r="M1181"/>
      <c r="R1181"/>
      <c r="V1181"/>
      <c r="Y1181"/>
      <c r="AD1181"/>
      <c r="AM1181"/>
      <c r="AO1181"/>
    </row>
    <row r="1182" spans="13:41">
      <c r="M1182"/>
      <c r="R1182"/>
      <c r="V1182"/>
      <c r="Y1182"/>
      <c r="AD1182"/>
      <c r="AM1182"/>
      <c r="AO1182"/>
    </row>
    <row r="1183" spans="13:41">
      <c r="M1183"/>
      <c r="R1183"/>
      <c r="V1183"/>
      <c r="Y1183"/>
      <c r="AD1183"/>
      <c r="AM1183"/>
      <c r="AO1183"/>
    </row>
    <row r="1184" spans="13:41">
      <c r="M1184"/>
      <c r="R1184"/>
      <c r="V1184"/>
      <c r="Y1184"/>
      <c r="AD1184"/>
      <c r="AM1184"/>
      <c r="AO1184"/>
    </row>
    <row r="1185" spans="13:41">
      <c r="M1185"/>
      <c r="R1185"/>
      <c r="V1185"/>
      <c r="Y1185"/>
      <c r="AD1185"/>
      <c r="AM1185"/>
      <c r="AO1185"/>
    </row>
    <row r="1186" spans="13:41">
      <c r="M1186"/>
      <c r="R1186"/>
      <c r="V1186"/>
      <c r="Y1186"/>
      <c r="AD1186"/>
      <c r="AM1186"/>
      <c r="AO1186"/>
    </row>
    <row r="1187" spans="13:41">
      <c r="M1187"/>
      <c r="R1187"/>
      <c r="V1187"/>
      <c r="Y1187"/>
      <c r="AD1187"/>
      <c r="AM1187"/>
      <c r="AO1187"/>
    </row>
    <row r="1188" spans="13:41">
      <c r="M1188"/>
      <c r="R1188"/>
      <c r="V1188"/>
      <c r="Y1188"/>
      <c r="AD1188"/>
      <c r="AM1188"/>
      <c r="AO1188"/>
    </row>
    <row r="1189" spans="13:41">
      <c r="M1189"/>
      <c r="R1189"/>
      <c r="V1189"/>
      <c r="Y1189"/>
      <c r="AD1189"/>
      <c r="AM1189"/>
      <c r="AO1189"/>
    </row>
    <row r="1190" spans="13:41">
      <c r="M1190"/>
      <c r="R1190"/>
      <c r="V1190"/>
      <c r="Y1190"/>
      <c r="AD1190"/>
      <c r="AM1190"/>
      <c r="AO1190"/>
    </row>
    <row r="1191" spans="13:41">
      <c r="M1191"/>
      <c r="R1191"/>
      <c r="V1191"/>
      <c r="Y1191"/>
      <c r="AD1191"/>
      <c r="AM1191"/>
      <c r="AO1191"/>
    </row>
    <row r="1192" spans="13:41">
      <c r="M1192"/>
      <c r="R1192"/>
      <c r="V1192"/>
      <c r="Y1192"/>
      <c r="AD1192"/>
      <c r="AM1192"/>
      <c r="AO1192"/>
    </row>
    <row r="1193" spans="13:41">
      <c r="M1193"/>
      <c r="R1193"/>
      <c r="V1193"/>
      <c r="Y1193"/>
      <c r="AD1193"/>
      <c r="AM1193"/>
      <c r="AO1193"/>
    </row>
    <row r="1194" spans="13:41">
      <c r="M1194"/>
      <c r="R1194"/>
      <c r="V1194"/>
      <c r="Y1194"/>
      <c r="AD1194"/>
      <c r="AM1194"/>
      <c r="AO1194"/>
    </row>
    <row r="1195" spans="13:41">
      <c r="M1195"/>
      <c r="R1195"/>
      <c r="V1195"/>
      <c r="Y1195"/>
      <c r="AD1195"/>
      <c r="AM1195"/>
      <c r="AO1195"/>
    </row>
    <row r="1196" spans="13:41">
      <c r="M1196"/>
      <c r="R1196"/>
      <c r="V1196"/>
      <c r="Y1196"/>
      <c r="AD1196"/>
      <c r="AM1196"/>
      <c r="AO1196"/>
    </row>
    <row r="1197" spans="13:41">
      <c r="M1197"/>
      <c r="R1197"/>
      <c r="V1197"/>
      <c r="Y1197"/>
      <c r="AD1197"/>
      <c r="AM1197"/>
      <c r="AO1197"/>
    </row>
    <row r="1198" spans="13:41">
      <c r="M1198"/>
      <c r="R1198"/>
      <c r="V1198"/>
      <c r="Y1198"/>
      <c r="AD1198"/>
      <c r="AM1198"/>
      <c r="AO1198"/>
    </row>
    <row r="1199" spans="13:41">
      <c r="M1199"/>
      <c r="R1199"/>
      <c r="V1199"/>
      <c r="Y1199"/>
      <c r="AD1199"/>
      <c r="AM1199"/>
      <c r="AO1199"/>
    </row>
    <row r="1200" spans="13:41">
      <c r="M1200"/>
      <c r="R1200"/>
      <c r="V1200"/>
      <c r="Y1200"/>
      <c r="AD1200"/>
      <c r="AM1200"/>
      <c r="AO1200"/>
    </row>
    <row r="1201" spans="13:41">
      <c r="M1201"/>
      <c r="R1201"/>
      <c r="V1201"/>
      <c r="Y1201"/>
      <c r="AD1201"/>
      <c r="AM1201"/>
      <c r="AO1201"/>
    </row>
    <row r="1202" spans="13:41">
      <c r="M1202"/>
      <c r="R1202"/>
      <c r="V1202"/>
      <c r="Y1202"/>
      <c r="AD1202"/>
      <c r="AM1202"/>
      <c r="AO1202"/>
    </row>
    <row r="1203" spans="13:41">
      <c r="M1203"/>
      <c r="R1203"/>
      <c r="V1203"/>
      <c r="Y1203"/>
      <c r="AD1203"/>
      <c r="AM1203"/>
      <c r="AO1203"/>
    </row>
    <row r="1204" spans="13:41">
      <c r="M1204"/>
      <c r="R1204"/>
      <c r="V1204"/>
      <c r="Y1204"/>
      <c r="AD1204"/>
      <c r="AM1204"/>
      <c r="AO1204"/>
    </row>
    <row r="1205" spans="13:41">
      <c r="M1205"/>
      <c r="R1205"/>
      <c r="V1205"/>
      <c r="Y1205"/>
      <c r="AD1205"/>
      <c r="AM1205"/>
      <c r="AO1205"/>
    </row>
    <row r="1206" spans="13:41">
      <c r="M1206"/>
      <c r="R1206"/>
      <c r="V1206"/>
      <c r="Y1206"/>
      <c r="AD1206"/>
      <c r="AM1206"/>
      <c r="AO1206"/>
    </row>
    <row r="1207" spans="13:41">
      <c r="M1207"/>
      <c r="R1207"/>
      <c r="V1207"/>
      <c r="Y1207"/>
      <c r="AD1207"/>
      <c r="AM1207"/>
      <c r="AO1207"/>
    </row>
    <row r="1208" spans="13:41">
      <c r="M1208"/>
      <c r="R1208"/>
      <c r="V1208"/>
      <c r="Y1208"/>
      <c r="AD1208"/>
      <c r="AM1208"/>
      <c r="AO1208"/>
    </row>
    <row r="1209" spans="13:41">
      <c r="M1209"/>
      <c r="R1209"/>
      <c r="V1209"/>
      <c r="Y1209"/>
      <c r="AD1209"/>
      <c r="AM1209"/>
      <c r="AO1209"/>
    </row>
    <row r="1210" spans="13:41">
      <c r="M1210"/>
      <c r="R1210"/>
      <c r="V1210"/>
      <c r="Y1210"/>
      <c r="AD1210"/>
      <c r="AM1210"/>
      <c r="AO1210"/>
    </row>
    <row r="1211" spans="13:41">
      <c r="M1211"/>
      <c r="R1211"/>
      <c r="V1211"/>
      <c r="Y1211"/>
      <c r="AD1211"/>
      <c r="AM1211"/>
      <c r="AO1211"/>
    </row>
    <row r="1212" spans="13:41">
      <c r="M1212"/>
      <c r="R1212"/>
      <c r="V1212"/>
      <c r="Y1212"/>
      <c r="AD1212"/>
      <c r="AM1212"/>
      <c r="AO1212"/>
    </row>
    <row r="1213" spans="13:41">
      <c r="M1213"/>
      <c r="R1213"/>
      <c r="V1213"/>
      <c r="Y1213"/>
      <c r="AD1213"/>
      <c r="AM1213"/>
      <c r="AO1213"/>
    </row>
    <row r="1214" spans="13:41">
      <c r="M1214"/>
      <c r="R1214"/>
      <c r="V1214"/>
      <c r="Y1214"/>
      <c r="AD1214"/>
      <c r="AM1214"/>
      <c r="AO1214"/>
    </row>
    <row r="1215" spans="13:41">
      <c r="M1215"/>
      <c r="R1215"/>
      <c r="V1215"/>
      <c r="Y1215"/>
      <c r="AD1215"/>
      <c r="AM1215"/>
      <c r="AO1215"/>
    </row>
    <row r="1216" spans="13:41">
      <c r="M1216"/>
      <c r="R1216"/>
      <c r="V1216"/>
      <c r="Y1216"/>
      <c r="AD1216"/>
      <c r="AM1216"/>
      <c r="AO1216"/>
    </row>
    <row r="1217" spans="13:41">
      <c r="M1217"/>
      <c r="R1217"/>
      <c r="V1217"/>
      <c r="Y1217"/>
      <c r="AD1217"/>
      <c r="AM1217"/>
      <c r="AO1217"/>
    </row>
    <row r="1218" spans="13:41">
      <c r="M1218"/>
      <c r="R1218"/>
      <c r="V1218"/>
      <c r="Y1218"/>
      <c r="AD1218"/>
      <c r="AM1218"/>
      <c r="AO1218"/>
    </row>
    <row r="1219" spans="13:41">
      <c r="M1219"/>
      <c r="R1219"/>
      <c r="V1219"/>
      <c r="Y1219"/>
      <c r="AD1219"/>
      <c r="AM1219"/>
      <c r="AO1219"/>
    </row>
    <row r="1220" spans="13:41">
      <c r="M1220"/>
      <c r="R1220"/>
      <c r="V1220"/>
      <c r="Y1220"/>
      <c r="AD1220"/>
      <c r="AM1220"/>
      <c r="AO1220"/>
    </row>
    <row r="1221" spans="13:41">
      <c r="M1221"/>
      <c r="R1221"/>
      <c r="V1221"/>
      <c r="Y1221"/>
      <c r="AD1221"/>
      <c r="AM1221"/>
      <c r="AO1221"/>
    </row>
    <row r="1222" spans="13:41">
      <c r="M1222"/>
      <c r="R1222"/>
      <c r="V1222"/>
      <c r="Y1222"/>
      <c r="AD1222"/>
      <c r="AM1222"/>
      <c r="AO1222"/>
    </row>
    <row r="1223" spans="13:41">
      <c r="M1223"/>
      <c r="R1223"/>
      <c r="V1223"/>
      <c r="Y1223"/>
      <c r="AD1223"/>
      <c r="AM1223"/>
      <c r="AO1223"/>
    </row>
    <row r="1224" spans="13:41">
      <c r="M1224"/>
      <c r="R1224"/>
      <c r="V1224"/>
      <c r="Y1224"/>
      <c r="AD1224"/>
      <c r="AM1224"/>
      <c r="AO1224"/>
    </row>
    <row r="1225" spans="13:41">
      <c r="M1225"/>
      <c r="R1225"/>
      <c r="V1225"/>
      <c r="Y1225"/>
      <c r="AD1225"/>
      <c r="AM1225"/>
      <c r="AO1225"/>
    </row>
    <row r="1226" spans="13:41">
      <c r="M1226"/>
      <c r="R1226"/>
      <c r="V1226"/>
      <c r="Y1226"/>
      <c r="AD1226"/>
      <c r="AM1226"/>
      <c r="AO1226"/>
    </row>
    <row r="1227" spans="13:41">
      <c r="M1227"/>
      <c r="R1227"/>
      <c r="V1227"/>
      <c r="Y1227"/>
      <c r="AD1227"/>
      <c r="AM1227"/>
      <c r="AO1227"/>
    </row>
    <row r="1228" spans="13:41">
      <c r="M1228"/>
      <c r="R1228"/>
      <c r="V1228"/>
      <c r="Y1228"/>
      <c r="AD1228"/>
      <c r="AM1228"/>
      <c r="AO1228"/>
    </row>
    <row r="1229" spans="13:41">
      <c r="M1229"/>
      <c r="R1229"/>
      <c r="V1229"/>
      <c r="Y1229"/>
      <c r="AD1229"/>
      <c r="AM1229"/>
      <c r="AO1229"/>
    </row>
    <row r="1230" spans="13:41">
      <c r="M1230"/>
      <c r="R1230"/>
      <c r="V1230"/>
      <c r="Y1230"/>
      <c r="AD1230"/>
      <c r="AM1230"/>
      <c r="AO1230"/>
    </row>
    <row r="1231" spans="13:41">
      <c r="M1231"/>
      <c r="R1231"/>
      <c r="V1231"/>
      <c r="Y1231"/>
      <c r="AD1231"/>
      <c r="AM1231"/>
      <c r="AO1231"/>
    </row>
    <row r="1232" spans="13:41">
      <c r="M1232"/>
      <c r="R1232"/>
      <c r="V1232"/>
      <c r="Y1232"/>
      <c r="AD1232"/>
      <c r="AM1232"/>
      <c r="AO1232"/>
    </row>
    <row r="1233" spans="13:41">
      <c r="M1233"/>
      <c r="R1233"/>
      <c r="V1233"/>
      <c r="Y1233"/>
      <c r="AD1233"/>
      <c r="AM1233"/>
      <c r="AO1233"/>
    </row>
    <row r="1234" spans="13:41">
      <c r="M1234"/>
      <c r="R1234"/>
      <c r="V1234"/>
      <c r="Y1234"/>
      <c r="AD1234"/>
      <c r="AM1234"/>
      <c r="AO1234"/>
    </row>
    <row r="1235" spans="13:41">
      <c r="M1235"/>
      <c r="R1235"/>
      <c r="V1235"/>
      <c r="Y1235"/>
      <c r="AD1235"/>
      <c r="AM1235"/>
      <c r="AO1235"/>
    </row>
    <row r="1236" spans="13:41">
      <c r="M1236"/>
      <c r="R1236"/>
      <c r="V1236"/>
      <c r="Y1236"/>
      <c r="AD1236"/>
      <c r="AM1236"/>
      <c r="AO1236"/>
    </row>
    <row r="1237" spans="13:41">
      <c r="M1237"/>
      <c r="R1237"/>
      <c r="V1237"/>
      <c r="Y1237"/>
      <c r="AD1237"/>
      <c r="AM1237"/>
      <c r="AO1237"/>
    </row>
    <row r="1238" spans="13:41">
      <c r="M1238"/>
      <c r="R1238"/>
      <c r="V1238"/>
      <c r="Y1238"/>
      <c r="AD1238"/>
      <c r="AM1238"/>
      <c r="AO1238"/>
    </row>
    <row r="1239" spans="13:41">
      <c r="M1239"/>
      <c r="R1239"/>
      <c r="V1239"/>
      <c r="Y1239"/>
      <c r="AD1239"/>
      <c r="AM1239"/>
      <c r="AO1239"/>
    </row>
    <row r="1240" spans="13:41">
      <c r="M1240"/>
      <c r="R1240"/>
      <c r="V1240"/>
      <c r="Y1240"/>
      <c r="AD1240"/>
      <c r="AM1240"/>
      <c r="AO1240"/>
    </row>
    <row r="1241" spans="13:41">
      <c r="M1241"/>
      <c r="R1241"/>
      <c r="V1241"/>
      <c r="Y1241"/>
      <c r="AD1241"/>
      <c r="AM1241"/>
      <c r="AO1241"/>
    </row>
    <row r="1242" spans="13:41">
      <c r="M1242"/>
      <c r="R1242"/>
      <c r="V1242"/>
      <c r="Y1242"/>
      <c r="AD1242"/>
      <c r="AM1242"/>
      <c r="AO1242"/>
    </row>
    <row r="1243" spans="13:41">
      <c r="M1243"/>
      <c r="R1243"/>
      <c r="V1243"/>
      <c r="Y1243"/>
      <c r="AD1243"/>
      <c r="AM1243"/>
      <c r="AO1243"/>
    </row>
    <row r="1244" spans="13:41">
      <c r="M1244"/>
      <c r="R1244"/>
      <c r="V1244"/>
      <c r="Y1244"/>
      <c r="AD1244"/>
      <c r="AM1244"/>
      <c r="AO1244"/>
    </row>
    <row r="1245" spans="13:41">
      <c r="M1245"/>
      <c r="R1245"/>
      <c r="V1245"/>
      <c r="Y1245"/>
      <c r="AD1245"/>
      <c r="AM1245"/>
      <c r="AO1245"/>
    </row>
    <row r="1246" spans="13:41">
      <c r="M1246"/>
      <c r="R1246"/>
      <c r="V1246"/>
      <c r="Y1246"/>
      <c r="AD1246"/>
      <c r="AM1246"/>
      <c r="AO1246"/>
    </row>
    <row r="1247" spans="13:41">
      <c r="M1247"/>
      <c r="R1247"/>
      <c r="V1247"/>
      <c r="Y1247"/>
      <c r="AD1247"/>
      <c r="AM1247"/>
      <c r="AO1247"/>
    </row>
    <row r="1248" spans="13:41">
      <c r="M1248"/>
      <c r="R1248"/>
      <c r="V1248"/>
      <c r="Y1248"/>
      <c r="AD1248"/>
      <c r="AM1248"/>
      <c r="AO1248"/>
    </row>
    <row r="1249" spans="13:41">
      <c r="M1249"/>
      <c r="R1249"/>
      <c r="V1249"/>
      <c r="Y1249"/>
      <c r="AD1249"/>
      <c r="AM1249"/>
      <c r="AO1249"/>
    </row>
    <row r="1250" spans="13:41">
      <c r="M1250"/>
      <c r="R1250"/>
      <c r="V1250"/>
      <c r="Y1250"/>
      <c r="AD1250"/>
      <c r="AM1250"/>
      <c r="AO1250"/>
    </row>
    <row r="1251" spans="13:41">
      <c r="M1251"/>
      <c r="R1251"/>
      <c r="V1251"/>
      <c r="Y1251"/>
      <c r="AD1251"/>
      <c r="AM1251"/>
      <c r="AO1251"/>
    </row>
    <row r="1252" spans="13:41">
      <c r="M1252"/>
      <c r="R1252"/>
      <c r="V1252"/>
      <c r="Y1252"/>
      <c r="AD1252"/>
      <c r="AM1252"/>
      <c r="AO1252"/>
    </row>
    <row r="1253" spans="13:41">
      <c r="M1253"/>
      <c r="R1253"/>
      <c r="V1253"/>
      <c r="Y1253"/>
      <c r="AD1253"/>
      <c r="AM1253"/>
      <c r="AO1253"/>
    </row>
    <row r="1254" spans="13:41">
      <c r="M1254"/>
      <c r="R1254"/>
      <c r="V1254"/>
      <c r="Y1254"/>
      <c r="AD1254"/>
      <c r="AM1254"/>
      <c r="AO1254"/>
    </row>
    <row r="1255" spans="13:41">
      <c r="M1255"/>
      <c r="R1255"/>
      <c r="V1255"/>
      <c r="Y1255"/>
      <c r="AD1255"/>
      <c r="AM1255"/>
      <c r="AO1255"/>
    </row>
    <row r="1256" spans="13:41">
      <c r="M1256"/>
      <c r="R1256"/>
      <c r="V1256"/>
      <c r="Y1256"/>
      <c r="AD1256"/>
      <c r="AM1256"/>
      <c r="AO1256"/>
    </row>
    <row r="1257" spans="13:41">
      <c r="M1257"/>
      <c r="R1257"/>
      <c r="V1257"/>
      <c r="Y1257"/>
      <c r="AD1257"/>
      <c r="AM1257"/>
      <c r="AO1257"/>
    </row>
    <row r="1258" spans="13:41">
      <c r="M1258"/>
      <c r="R1258"/>
      <c r="V1258"/>
      <c r="Y1258"/>
      <c r="AD1258"/>
      <c r="AM1258"/>
      <c r="AO1258"/>
    </row>
    <row r="1259" spans="13:41">
      <c r="M1259"/>
      <c r="R1259"/>
      <c r="V1259"/>
      <c r="Y1259"/>
      <c r="AD1259"/>
      <c r="AM1259"/>
      <c r="AO1259"/>
    </row>
    <row r="1260" spans="13:41">
      <c r="M1260"/>
      <c r="R1260"/>
      <c r="V1260"/>
      <c r="Y1260"/>
      <c r="AD1260"/>
      <c r="AM1260"/>
      <c r="AO1260"/>
    </row>
    <row r="1261" spans="13:41">
      <c r="M1261"/>
      <c r="R1261"/>
      <c r="V1261"/>
      <c r="Y1261"/>
      <c r="AD1261"/>
      <c r="AM1261"/>
      <c r="AO1261"/>
    </row>
    <row r="1262" spans="13:41">
      <c r="M1262"/>
      <c r="R1262"/>
      <c r="V1262"/>
      <c r="Y1262"/>
      <c r="AD1262"/>
      <c r="AM1262"/>
      <c r="AO1262"/>
    </row>
    <row r="1263" spans="13:41">
      <c r="M1263"/>
      <c r="R1263"/>
      <c r="V1263"/>
      <c r="Y1263"/>
      <c r="AD1263"/>
      <c r="AM1263"/>
      <c r="AO1263"/>
    </row>
    <row r="1264" spans="13:41">
      <c r="M1264"/>
      <c r="R1264"/>
      <c r="V1264"/>
      <c r="Y1264"/>
      <c r="AD1264"/>
      <c r="AM1264"/>
      <c r="AO1264"/>
    </row>
    <row r="1265" spans="13:41">
      <c r="M1265"/>
      <c r="R1265"/>
      <c r="V1265"/>
      <c r="Y1265"/>
      <c r="AD1265"/>
      <c r="AM1265"/>
      <c r="AO1265"/>
    </row>
    <row r="1266" spans="13:41">
      <c r="M1266"/>
      <c r="R1266"/>
      <c r="V1266"/>
      <c r="Y1266"/>
      <c r="AD1266"/>
      <c r="AM1266"/>
      <c r="AO1266"/>
    </row>
    <row r="1267" spans="13:41">
      <c r="M1267"/>
      <c r="R1267"/>
      <c r="V1267"/>
      <c r="Y1267"/>
      <c r="AD1267"/>
      <c r="AM1267"/>
      <c r="AO1267"/>
    </row>
    <row r="1268" spans="13:41">
      <c r="M1268"/>
      <c r="R1268"/>
      <c r="V1268"/>
      <c r="Y1268"/>
      <c r="AD1268"/>
      <c r="AM1268"/>
      <c r="AO1268"/>
    </row>
    <row r="1269" spans="13:41">
      <c r="M1269"/>
      <c r="R1269"/>
      <c r="V1269"/>
      <c r="Y1269"/>
      <c r="AD1269"/>
      <c r="AM1269"/>
      <c r="AO1269"/>
    </row>
    <row r="1270" spans="13:41">
      <c r="M1270"/>
      <c r="R1270"/>
      <c r="V1270"/>
      <c r="Y1270"/>
      <c r="AD1270"/>
      <c r="AM1270"/>
      <c r="AO1270"/>
    </row>
    <row r="1271" spans="13:41">
      <c r="M1271"/>
      <c r="R1271"/>
      <c r="V1271"/>
      <c r="Y1271"/>
      <c r="AD1271"/>
      <c r="AM1271"/>
      <c r="AO1271"/>
    </row>
    <row r="1272" spans="13:41">
      <c r="M1272"/>
      <c r="R1272"/>
      <c r="V1272"/>
      <c r="Y1272"/>
      <c r="AD1272"/>
      <c r="AM1272"/>
      <c r="AO1272"/>
    </row>
    <row r="1273" spans="13:41">
      <c r="M1273"/>
      <c r="R1273"/>
      <c r="V1273"/>
      <c r="Y1273"/>
      <c r="AD1273"/>
      <c r="AM1273"/>
      <c r="AO1273"/>
    </row>
    <row r="1274" spans="13:41">
      <c r="M1274"/>
      <c r="R1274"/>
      <c r="V1274"/>
      <c r="Y1274"/>
      <c r="AD1274"/>
      <c r="AM1274"/>
      <c r="AO1274"/>
    </row>
    <row r="1275" spans="13:41">
      <c r="M1275"/>
      <c r="R1275"/>
      <c r="V1275"/>
      <c r="Y1275"/>
      <c r="AD1275"/>
      <c r="AM1275"/>
      <c r="AO1275"/>
    </row>
    <row r="1276" spans="13:41">
      <c r="M1276"/>
      <c r="R1276"/>
      <c r="V1276"/>
      <c r="Y1276"/>
      <c r="AD1276"/>
      <c r="AM1276"/>
      <c r="AO1276"/>
    </row>
    <row r="1277" spans="13:41">
      <c r="M1277"/>
      <c r="R1277"/>
      <c r="V1277"/>
      <c r="Y1277"/>
      <c r="AD1277"/>
      <c r="AM1277"/>
      <c r="AO1277"/>
    </row>
    <row r="1278" spans="13:41">
      <c r="M1278"/>
      <c r="R1278"/>
      <c r="V1278"/>
      <c r="Y1278"/>
      <c r="AD1278"/>
      <c r="AM1278"/>
      <c r="AO1278"/>
    </row>
    <row r="1279" spans="13:41">
      <c r="M1279"/>
      <c r="R1279"/>
      <c r="V1279"/>
      <c r="Y1279"/>
      <c r="AD1279"/>
      <c r="AM1279"/>
      <c r="AO1279"/>
    </row>
    <row r="1280" spans="13:41">
      <c r="M1280"/>
      <c r="R1280"/>
      <c r="V1280"/>
      <c r="Y1280"/>
      <c r="AD1280"/>
      <c r="AM1280"/>
      <c r="AO1280"/>
    </row>
    <row r="1281" spans="13:41">
      <c r="M1281"/>
      <c r="R1281"/>
      <c r="V1281"/>
      <c r="Y1281"/>
      <c r="AD1281"/>
      <c r="AM1281"/>
      <c r="AO1281"/>
    </row>
    <row r="1282" spans="13:41">
      <c r="M1282"/>
      <c r="R1282"/>
      <c r="V1282"/>
      <c r="Y1282"/>
      <c r="AD1282"/>
      <c r="AM1282"/>
      <c r="AO1282"/>
    </row>
    <row r="1283" spans="13:41">
      <c r="M1283"/>
      <c r="R1283"/>
      <c r="V1283"/>
      <c r="Y1283"/>
      <c r="AD1283"/>
      <c r="AM1283"/>
      <c r="AO1283"/>
    </row>
    <row r="1284" spans="13:41">
      <c r="M1284"/>
      <c r="R1284"/>
      <c r="V1284"/>
      <c r="Y1284"/>
      <c r="AD1284"/>
      <c r="AM1284"/>
      <c r="AO1284"/>
    </row>
    <row r="1285" spans="13:41">
      <c r="M1285"/>
      <c r="R1285"/>
      <c r="V1285"/>
      <c r="Y1285"/>
      <c r="AD1285"/>
      <c r="AM1285"/>
      <c r="AO1285"/>
    </row>
    <row r="1286" spans="13:41">
      <c r="M1286"/>
      <c r="R1286"/>
      <c r="V1286"/>
      <c r="Y1286"/>
      <c r="AD1286"/>
      <c r="AM1286"/>
      <c r="AO1286"/>
    </row>
    <row r="1287" spans="13:41">
      <c r="M1287"/>
      <c r="R1287"/>
      <c r="V1287"/>
      <c r="Y1287"/>
      <c r="AD1287"/>
      <c r="AM1287"/>
      <c r="AO1287"/>
    </row>
    <row r="1288" spans="13:41">
      <c r="M1288"/>
      <c r="R1288"/>
      <c r="V1288"/>
      <c r="Y1288"/>
      <c r="AD1288"/>
      <c r="AM1288"/>
      <c r="AO1288"/>
    </row>
    <row r="1289" spans="13:41">
      <c r="M1289"/>
      <c r="R1289"/>
      <c r="V1289"/>
      <c r="Y1289"/>
      <c r="AD1289"/>
      <c r="AM1289"/>
      <c r="AO1289"/>
    </row>
    <row r="1290" spans="13:41">
      <c r="M1290"/>
      <c r="R1290"/>
      <c r="V1290"/>
      <c r="Y1290"/>
      <c r="AD1290"/>
      <c r="AM1290"/>
      <c r="AO1290"/>
    </row>
    <row r="1291" spans="13:41">
      <c r="M1291"/>
      <c r="R1291"/>
      <c r="V1291"/>
      <c r="Y1291"/>
      <c r="AD1291"/>
      <c r="AM1291"/>
      <c r="AO1291"/>
    </row>
    <row r="1292" spans="13:41">
      <c r="M1292"/>
      <c r="R1292"/>
      <c r="V1292"/>
      <c r="Y1292"/>
      <c r="AD1292"/>
      <c r="AM1292"/>
      <c r="AO1292"/>
    </row>
    <row r="1293" spans="13:41">
      <c r="M1293"/>
      <c r="R1293"/>
      <c r="V1293"/>
      <c r="Y1293"/>
      <c r="AD1293"/>
      <c r="AM1293"/>
      <c r="AO1293"/>
    </row>
    <row r="1294" spans="13:41">
      <c r="M1294"/>
      <c r="R1294"/>
      <c r="V1294"/>
      <c r="Y1294"/>
      <c r="AD1294"/>
      <c r="AM1294"/>
      <c r="AO1294"/>
    </row>
    <row r="1295" spans="13:41">
      <c r="M1295"/>
      <c r="R1295"/>
      <c r="V1295"/>
      <c r="Y1295"/>
      <c r="AD1295"/>
      <c r="AM1295"/>
      <c r="AO1295"/>
    </row>
    <row r="1296" spans="13:41">
      <c r="M1296"/>
      <c r="R1296"/>
      <c r="V1296"/>
      <c r="Y1296"/>
      <c r="AD1296"/>
      <c r="AM1296"/>
      <c r="AO1296"/>
    </row>
    <row r="1297" spans="13:41">
      <c r="M1297"/>
      <c r="R1297"/>
      <c r="V1297"/>
      <c r="Y1297"/>
      <c r="AD1297"/>
      <c r="AM1297"/>
      <c r="AO1297"/>
    </row>
    <row r="1298" spans="13:41">
      <c r="M1298"/>
      <c r="R1298"/>
      <c r="V1298"/>
      <c r="Y1298"/>
      <c r="AD1298"/>
      <c r="AM1298"/>
      <c r="AO1298"/>
    </row>
    <row r="1299" spans="13:41">
      <c r="M1299"/>
      <c r="R1299"/>
      <c r="V1299"/>
      <c r="Y1299"/>
      <c r="AD1299"/>
      <c r="AM1299"/>
      <c r="AO1299"/>
    </row>
    <row r="1300" spans="13:41">
      <c r="M1300"/>
      <c r="R1300"/>
      <c r="V1300"/>
      <c r="Y1300"/>
      <c r="AD1300"/>
      <c r="AM1300"/>
      <c r="AO1300"/>
    </row>
    <row r="1301" spans="13:41">
      <c r="M1301"/>
      <c r="R1301"/>
      <c r="V1301"/>
      <c r="Y1301"/>
      <c r="AD1301"/>
      <c r="AM1301"/>
      <c r="AO1301"/>
    </row>
    <row r="1302" spans="13:41">
      <c r="M1302"/>
      <c r="R1302"/>
      <c r="V1302"/>
      <c r="Y1302"/>
      <c r="AD1302"/>
      <c r="AM1302"/>
      <c r="AO1302"/>
    </row>
    <row r="1303" spans="13:41">
      <c r="M1303"/>
      <c r="R1303"/>
      <c r="V1303"/>
      <c r="Y1303"/>
      <c r="AD1303"/>
      <c r="AM1303"/>
      <c r="AO1303"/>
    </row>
    <row r="1304" spans="13:41">
      <c r="M1304"/>
      <c r="R1304"/>
      <c r="V1304"/>
      <c r="Y1304"/>
      <c r="AD1304"/>
      <c r="AM1304"/>
      <c r="AO1304"/>
    </row>
    <row r="1305" spans="13:41">
      <c r="M1305"/>
      <c r="R1305"/>
      <c r="V1305"/>
      <c r="Y1305"/>
      <c r="AD1305"/>
      <c r="AM1305"/>
      <c r="AO1305"/>
    </row>
    <row r="1306" spans="13:41">
      <c r="M1306"/>
      <c r="R1306"/>
      <c r="V1306"/>
      <c r="Y1306"/>
      <c r="AD1306"/>
      <c r="AM1306"/>
      <c r="AO1306"/>
    </row>
    <row r="1307" spans="13:41">
      <c r="M1307"/>
      <c r="R1307"/>
      <c r="V1307"/>
      <c r="Y1307"/>
      <c r="AD1307"/>
      <c r="AM1307"/>
      <c r="AO1307"/>
    </row>
    <row r="1308" spans="13:41">
      <c r="M1308"/>
      <c r="R1308"/>
      <c r="V1308"/>
      <c r="Y1308"/>
      <c r="AD1308"/>
      <c r="AM1308"/>
      <c r="AO1308"/>
    </row>
    <row r="1309" spans="13:41">
      <c r="M1309"/>
      <c r="R1309"/>
      <c r="V1309"/>
      <c r="Y1309"/>
      <c r="AD1309"/>
      <c r="AM1309"/>
      <c r="AO1309"/>
    </row>
    <row r="1310" spans="13:41">
      <c r="M1310"/>
      <c r="R1310"/>
      <c r="V1310"/>
      <c r="Y1310"/>
      <c r="AD1310"/>
      <c r="AM1310"/>
      <c r="AO1310"/>
    </row>
    <row r="1311" spans="13:41">
      <c r="M1311"/>
      <c r="R1311"/>
      <c r="V1311"/>
      <c r="Y1311"/>
      <c r="AD1311"/>
      <c r="AM1311"/>
      <c r="AO1311"/>
    </row>
    <row r="1312" spans="13:41">
      <c r="M1312"/>
      <c r="R1312"/>
      <c r="V1312"/>
      <c r="Y1312"/>
      <c r="AD1312"/>
      <c r="AM1312"/>
      <c r="AO1312"/>
    </row>
    <row r="1313" spans="13:41">
      <c r="M1313"/>
      <c r="R1313"/>
      <c r="V1313"/>
      <c r="Y1313"/>
      <c r="AD1313"/>
      <c r="AM1313"/>
      <c r="AO1313"/>
    </row>
    <row r="1314" spans="13:41">
      <c r="M1314"/>
      <c r="R1314"/>
      <c r="V1314"/>
      <c r="Y1314"/>
      <c r="AD1314"/>
      <c r="AM1314"/>
      <c r="AO1314"/>
    </row>
    <row r="1315" spans="13:41">
      <c r="M1315"/>
      <c r="R1315"/>
      <c r="V1315"/>
      <c r="Y1315"/>
      <c r="AD1315"/>
      <c r="AM1315"/>
      <c r="AO1315"/>
    </row>
    <row r="1316" spans="13:41">
      <c r="M1316"/>
      <c r="R1316"/>
      <c r="V1316"/>
      <c r="Y1316"/>
      <c r="AD1316"/>
      <c r="AM1316"/>
      <c r="AO1316"/>
    </row>
    <row r="1317" spans="13:41">
      <c r="M1317"/>
      <c r="R1317"/>
      <c r="V1317"/>
      <c r="Y1317"/>
      <c r="AD1317"/>
      <c r="AM1317"/>
      <c r="AO1317"/>
    </row>
    <row r="1318" spans="13:41">
      <c r="M1318"/>
      <c r="R1318"/>
      <c r="V1318"/>
      <c r="Y1318"/>
      <c r="AD1318"/>
      <c r="AM1318"/>
      <c r="AO1318"/>
    </row>
    <row r="1319" spans="13:41">
      <c r="M1319"/>
      <c r="R1319"/>
      <c r="V1319"/>
      <c r="Y1319"/>
      <c r="AD1319"/>
      <c r="AM1319"/>
      <c r="AO1319"/>
    </row>
    <row r="1320" spans="13:41">
      <c r="M1320"/>
      <c r="R1320"/>
      <c r="V1320"/>
      <c r="Y1320"/>
      <c r="AD1320"/>
      <c r="AM1320"/>
      <c r="AO1320"/>
    </row>
    <row r="1321" spans="13:41">
      <c r="M1321"/>
      <c r="R1321"/>
      <c r="V1321"/>
      <c r="Y1321"/>
      <c r="AD1321"/>
      <c r="AM1321"/>
      <c r="AO1321"/>
    </row>
    <row r="1322" spans="13:41">
      <c r="M1322"/>
      <c r="R1322"/>
      <c r="V1322"/>
      <c r="Y1322"/>
      <c r="AD1322"/>
      <c r="AM1322"/>
      <c r="AO1322"/>
    </row>
    <row r="1323" spans="13:41">
      <c r="M1323"/>
      <c r="R1323"/>
      <c r="V1323"/>
      <c r="Y1323"/>
      <c r="AD1323"/>
      <c r="AM1323"/>
      <c r="AO1323"/>
    </row>
    <row r="1324" spans="13:41">
      <c r="M1324"/>
      <c r="R1324"/>
      <c r="V1324"/>
      <c r="Y1324"/>
      <c r="AD1324"/>
      <c r="AM1324"/>
      <c r="AO1324"/>
    </row>
    <row r="1325" spans="13:41">
      <c r="M1325"/>
      <c r="R1325"/>
      <c r="V1325"/>
      <c r="Y1325"/>
      <c r="AD1325"/>
      <c r="AM1325"/>
      <c r="AO1325"/>
    </row>
    <row r="1326" spans="13:41">
      <c r="M1326"/>
      <c r="R1326"/>
      <c r="V1326"/>
      <c r="Y1326"/>
      <c r="AD1326"/>
      <c r="AM1326"/>
      <c r="AO1326"/>
    </row>
    <row r="1327" spans="13:41">
      <c r="M1327"/>
      <c r="R1327"/>
      <c r="V1327"/>
      <c r="Y1327"/>
      <c r="AD1327"/>
      <c r="AM1327"/>
      <c r="AO1327"/>
    </row>
    <row r="1328" spans="13:41">
      <c r="M1328"/>
      <c r="R1328"/>
      <c r="V1328"/>
      <c r="Y1328"/>
      <c r="AD1328"/>
      <c r="AM1328"/>
      <c r="AO1328"/>
    </row>
    <row r="1329" spans="13:41">
      <c r="M1329"/>
      <c r="R1329"/>
      <c r="V1329"/>
      <c r="Y1329"/>
      <c r="AD1329"/>
      <c r="AM1329"/>
      <c r="AO1329"/>
    </row>
    <row r="1330" spans="13:41">
      <c r="M1330"/>
      <c r="R1330"/>
      <c r="V1330"/>
      <c r="Y1330"/>
      <c r="AD1330"/>
      <c r="AM1330"/>
      <c r="AO1330"/>
    </row>
    <row r="1331" spans="13:41">
      <c r="M1331"/>
      <c r="R1331"/>
      <c r="V1331"/>
      <c r="Y1331"/>
      <c r="AD1331"/>
      <c r="AM1331"/>
      <c r="AO1331"/>
    </row>
    <row r="1332" spans="13:41">
      <c r="M1332"/>
      <c r="R1332"/>
      <c r="V1332"/>
      <c r="Y1332"/>
      <c r="AD1332"/>
      <c r="AM1332"/>
      <c r="AO1332"/>
    </row>
    <row r="1333" spans="13:41">
      <c r="M1333"/>
      <c r="R1333"/>
      <c r="V1333"/>
      <c r="Y1333"/>
      <c r="AD1333"/>
      <c r="AM1333"/>
      <c r="AO1333"/>
    </row>
    <row r="1334" spans="13:41">
      <c r="M1334"/>
      <c r="R1334"/>
      <c r="V1334"/>
      <c r="Y1334"/>
      <c r="AD1334"/>
      <c r="AM1334"/>
      <c r="AO1334"/>
    </row>
    <row r="1335" spans="13:41">
      <c r="M1335"/>
      <c r="R1335"/>
      <c r="V1335"/>
      <c r="Y1335"/>
      <c r="AD1335"/>
      <c r="AM1335"/>
      <c r="AO1335"/>
    </row>
    <row r="1336" spans="13:41">
      <c r="M1336"/>
      <c r="R1336"/>
      <c r="V1336"/>
      <c r="Y1336"/>
      <c r="AD1336"/>
      <c r="AM1336"/>
      <c r="AO1336"/>
    </row>
    <row r="1337" spans="13:41">
      <c r="M1337"/>
      <c r="R1337"/>
      <c r="V1337"/>
      <c r="Y1337"/>
      <c r="AD1337"/>
      <c r="AM1337"/>
      <c r="AO1337"/>
    </row>
    <row r="1338" spans="13:41">
      <c r="M1338"/>
      <c r="R1338"/>
      <c r="V1338"/>
      <c r="Y1338"/>
      <c r="AD1338"/>
      <c r="AM1338"/>
      <c r="AO1338"/>
    </row>
    <row r="1339" spans="13:41">
      <c r="M1339"/>
      <c r="R1339"/>
      <c r="V1339"/>
      <c r="Y1339"/>
      <c r="AD1339"/>
      <c r="AM1339"/>
      <c r="AO1339"/>
    </row>
    <row r="1340" spans="13:41">
      <c r="M1340"/>
      <c r="R1340"/>
      <c r="V1340"/>
      <c r="Y1340"/>
      <c r="AD1340"/>
      <c r="AM1340"/>
      <c r="AO1340"/>
    </row>
    <row r="1341" spans="13:41">
      <c r="M1341"/>
      <c r="R1341"/>
      <c r="V1341"/>
      <c r="Y1341"/>
      <c r="AD1341"/>
      <c r="AM1341"/>
      <c r="AO1341"/>
    </row>
    <row r="1342" spans="13:41">
      <c r="M1342"/>
      <c r="R1342"/>
      <c r="V1342"/>
      <c r="Y1342"/>
      <c r="AD1342"/>
      <c r="AM1342"/>
      <c r="AO1342"/>
    </row>
    <row r="1343" spans="13:41">
      <c r="M1343"/>
      <c r="R1343"/>
      <c r="V1343"/>
      <c r="Y1343"/>
      <c r="AD1343"/>
      <c r="AM1343"/>
      <c r="AO1343"/>
    </row>
    <row r="1344" spans="13:41">
      <c r="M1344"/>
      <c r="R1344"/>
      <c r="V1344"/>
      <c r="Y1344"/>
      <c r="AD1344"/>
      <c r="AM1344"/>
      <c r="AO1344"/>
    </row>
    <row r="1345" spans="13:41">
      <c r="M1345"/>
      <c r="R1345"/>
      <c r="V1345"/>
      <c r="Y1345"/>
      <c r="AD1345"/>
      <c r="AM1345"/>
      <c r="AO1345"/>
    </row>
    <row r="1346" spans="13:41">
      <c r="M1346"/>
      <c r="R1346"/>
      <c r="V1346"/>
      <c r="Y1346"/>
      <c r="AD1346"/>
      <c r="AM1346"/>
      <c r="AO1346"/>
    </row>
    <row r="1347" spans="13:41">
      <c r="M1347"/>
      <c r="R1347"/>
      <c r="V1347"/>
      <c r="Y1347"/>
      <c r="AD1347"/>
      <c r="AM1347"/>
      <c r="AO1347"/>
    </row>
    <row r="1348" spans="13:41">
      <c r="M1348"/>
      <c r="R1348"/>
      <c r="V1348"/>
      <c r="Y1348"/>
      <c r="AD1348"/>
      <c r="AM1348"/>
      <c r="AO1348"/>
    </row>
    <row r="1349" spans="13:41">
      <c r="M1349"/>
      <c r="R1349"/>
      <c r="V1349"/>
      <c r="Y1349"/>
      <c r="AD1349"/>
      <c r="AM1349"/>
      <c r="AO1349"/>
    </row>
    <row r="1350" spans="13:41">
      <c r="M1350"/>
      <c r="R1350"/>
      <c r="V1350"/>
      <c r="Y1350"/>
      <c r="AD1350"/>
      <c r="AM1350"/>
      <c r="AO1350"/>
    </row>
    <row r="1351" spans="13:41">
      <c r="M1351"/>
      <c r="R1351"/>
      <c r="V1351"/>
      <c r="Y1351"/>
      <c r="AD1351"/>
      <c r="AM1351"/>
      <c r="AO1351"/>
    </row>
    <row r="1352" spans="13:41">
      <c r="M1352"/>
      <c r="R1352"/>
      <c r="V1352"/>
      <c r="Y1352"/>
      <c r="AD1352"/>
      <c r="AM1352"/>
      <c r="AO1352"/>
    </row>
    <row r="1353" spans="13:41">
      <c r="M1353"/>
      <c r="R1353"/>
      <c r="V1353"/>
      <c r="Y1353"/>
      <c r="AD1353"/>
      <c r="AM1353"/>
      <c r="AO1353"/>
    </row>
    <row r="1354" spans="13:41">
      <c r="M1354"/>
      <c r="R1354"/>
      <c r="V1354"/>
      <c r="Y1354"/>
      <c r="AD1354"/>
      <c r="AM1354"/>
      <c r="AO1354"/>
    </row>
    <row r="1355" spans="13:41">
      <c r="M1355"/>
      <c r="R1355"/>
      <c r="V1355"/>
      <c r="Y1355"/>
      <c r="AD1355"/>
      <c r="AM1355"/>
      <c r="AO1355"/>
    </row>
    <row r="1356" spans="13:41">
      <c r="M1356"/>
      <c r="R1356"/>
      <c r="V1356"/>
      <c r="Y1356"/>
      <c r="AD1356"/>
      <c r="AM1356"/>
      <c r="AO1356"/>
    </row>
    <row r="1357" spans="13:41">
      <c r="M1357"/>
      <c r="R1357"/>
      <c r="V1357"/>
      <c r="Y1357"/>
      <c r="AD1357"/>
      <c r="AM1357"/>
      <c r="AO1357"/>
    </row>
    <row r="1358" spans="13:41">
      <c r="M1358"/>
      <c r="R1358"/>
      <c r="V1358"/>
      <c r="Y1358"/>
      <c r="AD1358"/>
      <c r="AM1358"/>
      <c r="AO1358"/>
    </row>
    <row r="1359" spans="13:41">
      <c r="M1359"/>
      <c r="R1359"/>
      <c r="V1359"/>
      <c r="Y1359"/>
      <c r="AD1359"/>
      <c r="AM1359"/>
      <c r="AO1359"/>
    </row>
    <row r="1360" spans="13:41">
      <c r="M1360"/>
      <c r="R1360"/>
      <c r="V1360"/>
      <c r="Y1360"/>
      <c r="AD1360"/>
      <c r="AM1360"/>
      <c r="AO1360"/>
    </row>
    <row r="1361" spans="13:41">
      <c r="M1361"/>
      <c r="R1361"/>
      <c r="V1361"/>
      <c r="Y1361"/>
      <c r="AD1361"/>
      <c r="AM1361"/>
      <c r="AO1361"/>
    </row>
    <row r="1362" spans="13:41">
      <c r="M1362"/>
      <c r="R1362"/>
      <c r="V1362"/>
      <c r="Y1362"/>
      <c r="AD1362"/>
      <c r="AM1362"/>
      <c r="AO1362"/>
    </row>
    <row r="1363" spans="13:41">
      <c r="M1363"/>
      <c r="R1363"/>
      <c r="V1363"/>
      <c r="Y1363"/>
      <c r="AD1363"/>
      <c r="AM1363"/>
      <c r="AO1363"/>
    </row>
    <row r="1364" spans="13:41">
      <c r="M1364"/>
      <c r="R1364"/>
      <c r="V1364"/>
      <c r="Y1364"/>
      <c r="AD1364"/>
      <c r="AM1364"/>
      <c r="AO1364"/>
    </row>
    <row r="1365" spans="13:41">
      <c r="M1365"/>
      <c r="R1365"/>
      <c r="V1365"/>
      <c r="Y1365"/>
      <c r="AD1365"/>
      <c r="AM1365"/>
      <c r="AO1365"/>
    </row>
    <row r="1366" spans="13:41">
      <c r="M1366"/>
      <c r="R1366"/>
      <c r="V1366"/>
      <c r="Y1366"/>
      <c r="AD1366"/>
      <c r="AM1366"/>
      <c r="AO1366"/>
    </row>
    <row r="1367" spans="13:41">
      <c r="M1367"/>
      <c r="R1367"/>
      <c r="V1367"/>
      <c r="Y1367"/>
      <c r="AD1367"/>
      <c r="AM1367"/>
      <c r="AO1367"/>
    </row>
    <row r="1368" spans="13:41">
      <c r="M1368"/>
      <c r="R1368"/>
      <c r="V1368"/>
      <c r="Y1368"/>
      <c r="AD1368"/>
      <c r="AM1368"/>
      <c r="AO1368"/>
    </row>
    <row r="1369" spans="13:41">
      <c r="M1369"/>
      <c r="R1369"/>
      <c r="V1369"/>
      <c r="Y1369"/>
      <c r="AD1369"/>
      <c r="AM1369"/>
      <c r="AO1369"/>
    </row>
    <row r="1370" spans="13:41">
      <c r="M1370"/>
      <c r="R1370"/>
      <c r="V1370"/>
      <c r="Y1370"/>
      <c r="AD1370"/>
      <c r="AM1370"/>
      <c r="AO1370"/>
    </row>
    <row r="1371" spans="13:41">
      <c r="M1371"/>
      <c r="R1371"/>
      <c r="V1371"/>
      <c r="Y1371"/>
      <c r="AD1371"/>
      <c r="AM1371"/>
      <c r="AO1371"/>
    </row>
    <row r="1372" spans="13:41">
      <c r="M1372"/>
      <c r="R1372"/>
      <c r="V1372"/>
      <c r="Y1372"/>
      <c r="AD1372"/>
      <c r="AM1372"/>
      <c r="AO1372"/>
    </row>
    <row r="1373" spans="13:41">
      <c r="M1373"/>
      <c r="R1373"/>
      <c r="V1373"/>
      <c r="Y1373"/>
      <c r="AD1373"/>
      <c r="AM1373"/>
      <c r="AO1373"/>
    </row>
    <row r="1374" spans="13:41">
      <c r="M1374"/>
      <c r="R1374"/>
      <c r="V1374"/>
      <c r="Y1374"/>
      <c r="AD1374"/>
      <c r="AM1374"/>
      <c r="AO1374"/>
    </row>
    <row r="1375" spans="13:41">
      <c r="M1375"/>
      <c r="R1375"/>
      <c r="V1375"/>
      <c r="Y1375"/>
      <c r="AD1375"/>
      <c r="AM1375"/>
      <c r="AO1375"/>
    </row>
    <row r="1376" spans="13:41">
      <c r="M1376"/>
      <c r="R1376"/>
      <c r="V1376"/>
      <c r="Y1376"/>
      <c r="AD1376"/>
      <c r="AM1376"/>
      <c r="AO1376"/>
    </row>
    <row r="1377" spans="13:41">
      <c r="M1377"/>
      <c r="R1377"/>
      <c r="V1377"/>
      <c r="Y1377"/>
      <c r="AD1377"/>
      <c r="AM1377"/>
      <c r="AO1377"/>
    </row>
    <row r="1378" spans="13:41">
      <c r="M1378"/>
      <c r="R1378"/>
      <c r="V1378"/>
      <c r="Y1378"/>
      <c r="AD1378"/>
      <c r="AM1378"/>
      <c r="AO1378"/>
    </row>
    <row r="1379" spans="13:41">
      <c r="M1379"/>
      <c r="R1379"/>
      <c r="V1379"/>
      <c r="Y1379"/>
      <c r="AD1379"/>
      <c r="AM1379"/>
      <c r="AO1379"/>
    </row>
    <row r="1380" spans="13:41">
      <c r="M1380"/>
      <c r="R1380"/>
      <c r="V1380"/>
      <c r="Y1380"/>
      <c r="AD1380"/>
      <c r="AM1380"/>
      <c r="AO1380"/>
    </row>
    <row r="1381" spans="13:41">
      <c r="M1381"/>
      <c r="R1381"/>
      <c r="V1381"/>
      <c r="Y1381"/>
      <c r="AD1381"/>
      <c r="AM1381"/>
      <c r="AO1381"/>
    </row>
    <row r="1382" spans="13:41">
      <c r="M1382"/>
      <c r="R1382"/>
      <c r="V1382"/>
      <c r="Y1382"/>
      <c r="AD1382"/>
      <c r="AM1382"/>
      <c r="AO1382"/>
    </row>
    <row r="1383" spans="13:41">
      <c r="M1383"/>
      <c r="R1383"/>
      <c r="V1383"/>
      <c r="Y1383"/>
      <c r="AD1383"/>
      <c r="AM1383"/>
      <c r="AO1383"/>
    </row>
    <row r="1384" spans="13:41">
      <c r="M1384"/>
      <c r="R1384"/>
      <c r="V1384"/>
      <c r="Y1384"/>
      <c r="AD1384"/>
      <c r="AM1384"/>
      <c r="AO1384"/>
    </row>
    <row r="1385" spans="13:41">
      <c r="M1385"/>
      <c r="R1385"/>
      <c r="V1385"/>
      <c r="Y1385"/>
      <c r="AD1385"/>
      <c r="AM1385"/>
      <c r="AO1385"/>
    </row>
    <row r="1386" spans="13:41">
      <c r="M1386"/>
      <c r="R1386"/>
      <c r="V1386"/>
      <c r="Y1386"/>
      <c r="AD1386"/>
      <c r="AM1386"/>
      <c r="AO1386"/>
    </row>
    <row r="1387" spans="13:41">
      <c r="M1387"/>
      <c r="R1387"/>
      <c r="V1387"/>
      <c r="Y1387"/>
      <c r="AD1387"/>
      <c r="AM1387"/>
      <c r="AO1387"/>
    </row>
    <row r="1388" spans="13:41">
      <c r="M1388"/>
      <c r="R1388"/>
      <c r="V1388"/>
      <c r="Y1388"/>
      <c r="AD1388"/>
      <c r="AM1388"/>
      <c r="AO1388"/>
    </row>
    <row r="1389" spans="13:41">
      <c r="M1389"/>
      <c r="R1389"/>
      <c r="V1389"/>
      <c r="Y1389"/>
      <c r="AD1389"/>
      <c r="AM1389"/>
      <c r="AO1389"/>
    </row>
    <row r="1390" spans="13:41">
      <c r="M1390"/>
      <c r="R1390"/>
      <c r="V1390"/>
      <c r="Y1390"/>
      <c r="AD1390"/>
      <c r="AM1390"/>
      <c r="AO1390"/>
    </row>
    <row r="1391" spans="13:41">
      <c r="M1391"/>
      <c r="R1391"/>
      <c r="V1391"/>
      <c r="Y1391"/>
      <c r="AD1391"/>
      <c r="AM1391"/>
      <c r="AO1391"/>
    </row>
    <row r="1392" spans="13:41">
      <c r="M1392"/>
      <c r="R1392"/>
      <c r="V1392"/>
      <c r="Y1392"/>
      <c r="AD1392"/>
      <c r="AM1392"/>
      <c r="AO1392"/>
    </row>
    <row r="1393" spans="13:41">
      <c r="M1393"/>
      <c r="R1393"/>
      <c r="V1393"/>
      <c r="Y1393"/>
      <c r="AD1393"/>
      <c r="AM1393"/>
      <c r="AO1393"/>
    </row>
    <row r="1394" spans="13:41">
      <c r="M1394"/>
      <c r="R1394"/>
      <c r="V1394"/>
      <c r="Y1394"/>
      <c r="AD1394"/>
      <c r="AM1394"/>
      <c r="AO1394"/>
    </row>
    <row r="1395" spans="13:41">
      <c r="M1395"/>
      <c r="R1395"/>
      <c r="V1395"/>
      <c r="Y1395"/>
      <c r="AD1395"/>
      <c r="AM1395"/>
      <c r="AO1395"/>
    </row>
    <row r="1396" spans="13:41">
      <c r="M1396"/>
      <c r="R1396"/>
      <c r="V1396"/>
      <c r="Y1396"/>
      <c r="AD1396"/>
      <c r="AM1396"/>
      <c r="AO1396"/>
    </row>
    <row r="1397" spans="13:41">
      <c r="M1397"/>
      <c r="R1397"/>
      <c r="V1397"/>
      <c r="Y1397"/>
      <c r="AD1397"/>
      <c r="AM1397"/>
      <c r="AO1397"/>
    </row>
    <row r="1398" spans="13:41">
      <c r="M1398"/>
      <c r="R1398"/>
      <c r="V1398"/>
      <c r="Y1398"/>
      <c r="AD1398"/>
      <c r="AM1398"/>
      <c r="AO1398"/>
    </row>
    <row r="1399" spans="13:41">
      <c r="M1399"/>
      <c r="R1399"/>
      <c r="V1399"/>
      <c r="Y1399"/>
      <c r="AD1399"/>
      <c r="AM1399"/>
      <c r="AO1399"/>
    </row>
    <row r="1400" spans="13:41">
      <c r="M1400"/>
      <c r="R1400"/>
      <c r="V1400"/>
      <c r="Y1400"/>
      <c r="AD1400"/>
      <c r="AM1400"/>
      <c r="AO1400"/>
    </row>
    <row r="1401" spans="13:41">
      <c r="M1401"/>
      <c r="R1401"/>
      <c r="V1401"/>
      <c r="Y1401"/>
      <c r="AD1401"/>
      <c r="AM1401"/>
      <c r="AO1401"/>
    </row>
    <row r="1402" spans="13:41">
      <c r="M1402"/>
      <c r="R1402"/>
      <c r="V1402"/>
      <c r="Y1402"/>
      <c r="AD1402"/>
      <c r="AM1402"/>
      <c r="AO1402"/>
    </row>
    <row r="1403" spans="13:41">
      <c r="M1403"/>
      <c r="R1403"/>
      <c r="V1403"/>
      <c r="Y1403"/>
      <c r="AD1403"/>
      <c r="AM1403"/>
      <c r="AO1403"/>
    </row>
    <row r="1404" spans="13:41">
      <c r="M1404"/>
      <c r="R1404"/>
      <c r="V1404"/>
      <c r="Y1404"/>
      <c r="AD1404"/>
      <c r="AM1404"/>
      <c r="AO1404"/>
    </row>
    <row r="1405" spans="13:41">
      <c r="M1405"/>
      <c r="R1405"/>
      <c r="V1405"/>
      <c r="Y1405"/>
      <c r="AD1405"/>
      <c r="AM1405"/>
      <c r="AO1405"/>
    </row>
    <row r="1406" spans="13:41">
      <c r="M1406"/>
      <c r="R1406"/>
      <c r="V1406"/>
      <c r="Y1406"/>
      <c r="AD1406"/>
      <c r="AM1406"/>
      <c r="AO1406"/>
    </row>
    <row r="1407" spans="13:41">
      <c r="M1407"/>
      <c r="R1407"/>
      <c r="V1407"/>
      <c r="Y1407"/>
      <c r="AD1407"/>
      <c r="AM1407"/>
      <c r="AO1407"/>
    </row>
    <row r="1408" spans="13:41">
      <c r="M1408"/>
      <c r="R1408"/>
      <c r="V1408"/>
      <c r="Y1408"/>
      <c r="AD1408"/>
      <c r="AM1408"/>
      <c r="AO1408"/>
    </row>
    <row r="1409" spans="13:41">
      <c r="M1409"/>
      <c r="R1409"/>
      <c r="V1409"/>
      <c r="Y1409"/>
      <c r="AD1409"/>
      <c r="AM1409"/>
      <c r="AO1409"/>
    </row>
    <row r="1410" spans="13:41">
      <c r="M1410"/>
      <c r="R1410"/>
      <c r="V1410"/>
      <c r="Y1410"/>
      <c r="AD1410"/>
      <c r="AM1410"/>
      <c r="AO1410"/>
    </row>
    <row r="1411" spans="13:41">
      <c r="M1411"/>
      <c r="R1411"/>
      <c r="V1411"/>
      <c r="Y1411"/>
      <c r="AD1411"/>
      <c r="AM1411"/>
      <c r="AO1411"/>
    </row>
    <row r="1412" spans="13:41">
      <c r="M1412"/>
      <c r="R1412"/>
      <c r="V1412"/>
      <c r="Y1412"/>
      <c r="AD1412"/>
      <c r="AM1412"/>
      <c r="AO1412"/>
    </row>
    <row r="1413" spans="13:41">
      <c r="M1413"/>
      <c r="R1413"/>
      <c r="V1413"/>
      <c r="Y1413"/>
      <c r="AD1413"/>
      <c r="AM1413"/>
      <c r="AO1413"/>
    </row>
    <row r="1414" spans="13:41">
      <c r="M1414"/>
      <c r="R1414"/>
      <c r="V1414"/>
      <c r="Y1414"/>
      <c r="AD1414"/>
      <c r="AM1414"/>
      <c r="AO1414"/>
    </row>
    <row r="1415" spans="13:41">
      <c r="M1415"/>
      <c r="R1415"/>
      <c r="V1415"/>
      <c r="Y1415"/>
      <c r="AD1415"/>
      <c r="AM1415"/>
      <c r="AO1415"/>
    </row>
    <row r="1416" spans="13:41">
      <c r="M1416"/>
      <c r="R1416"/>
      <c r="V1416"/>
      <c r="Y1416"/>
      <c r="AD1416"/>
      <c r="AM1416"/>
      <c r="AO1416"/>
    </row>
    <row r="1417" spans="13:41">
      <c r="M1417"/>
      <c r="R1417"/>
      <c r="V1417"/>
      <c r="Y1417"/>
      <c r="AD1417"/>
      <c r="AM1417"/>
      <c r="AO1417"/>
    </row>
    <row r="1418" spans="13:41">
      <c r="M1418"/>
      <c r="R1418"/>
      <c r="V1418"/>
      <c r="Y1418"/>
      <c r="AD1418"/>
      <c r="AM1418"/>
      <c r="AO1418"/>
    </row>
    <row r="1419" spans="13:41">
      <c r="M1419"/>
      <c r="R1419"/>
      <c r="V1419"/>
      <c r="Y1419"/>
      <c r="AD1419"/>
      <c r="AM1419"/>
      <c r="AO1419"/>
    </row>
    <row r="1420" spans="13:41">
      <c r="M1420"/>
      <c r="R1420"/>
      <c r="V1420"/>
      <c r="Y1420"/>
      <c r="AD1420"/>
      <c r="AM1420"/>
      <c r="AO1420"/>
    </row>
    <row r="1421" spans="13:41">
      <c r="M1421"/>
      <c r="R1421"/>
      <c r="V1421"/>
      <c r="Y1421"/>
      <c r="AD1421"/>
      <c r="AM1421"/>
      <c r="AO1421"/>
    </row>
    <row r="1422" spans="13:41">
      <c r="M1422"/>
      <c r="R1422"/>
      <c r="V1422"/>
      <c r="Y1422"/>
      <c r="AD1422"/>
      <c r="AM1422"/>
      <c r="AO1422"/>
    </row>
    <row r="1423" spans="13:41">
      <c r="M1423"/>
      <c r="R1423"/>
      <c r="V1423"/>
      <c r="Y1423"/>
      <c r="AD1423"/>
      <c r="AM1423"/>
      <c r="AO1423"/>
    </row>
    <row r="1424" spans="13:41">
      <c r="M1424"/>
      <c r="R1424"/>
      <c r="V1424"/>
      <c r="Y1424"/>
      <c r="AD1424"/>
      <c r="AM1424"/>
      <c r="AO1424"/>
    </row>
    <row r="1425" spans="13:41">
      <c r="M1425"/>
      <c r="R1425"/>
      <c r="V1425"/>
      <c r="Y1425"/>
      <c r="AD1425"/>
      <c r="AM1425"/>
      <c r="AO1425"/>
    </row>
    <row r="1426" spans="13:41">
      <c r="M1426"/>
      <c r="R1426"/>
      <c r="V1426"/>
      <c r="Y1426"/>
      <c r="AD1426"/>
      <c r="AM1426"/>
      <c r="AO1426"/>
    </row>
    <row r="1427" spans="13:41">
      <c r="M1427"/>
      <c r="R1427"/>
      <c r="V1427"/>
      <c r="Y1427"/>
      <c r="AD1427"/>
      <c r="AM1427"/>
      <c r="AO1427"/>
    </row>
    <row r="1428" spans="13:41">
      <c r="M1428"/>
      <c r="R1428"/>
      <c r="V1428"/>
      <c r="Y1428"/>
      <c r="AD1428"/>
      <c r="AM1428"/>
      <c r="AO1428"/>
    </row>
    <row r="1429" spans="13:41">
      <c r="M1429"/>
      <c r="R1429"/>
      <c r="V1429"/>
      <c r="Y1429"/>
      <c r="AD1429"/>
      <c r="AM1429"/>
      <c r="AO1429"/>
    </row>
    <row r="1430" spans="13:41">
      <c r="M1430"/>
      <c r="R1430"/>
      <c r="V1430"/>
      <c r="Y1430"/>
      <c r="AD1430"/>
      <c r="AM1430"/>
      <c r="AO1430"/>
    </row>
    <row r="1431" spans="13:41">
      <c r="M1431"/>
      <c r="R1431"/>
      <c r="V1431"/>
      <c r="Y1431"/>
      <c r="AD1431"/>
      <c r="AM1431"/>
      <c r="AO1431"/>
    </row>
    <row r="1432" spans="13:41">
      <c r="M1432"/>
      <c r="R1432"/>
      <c r="V1432"/>
      <c r="Y1432"/>
      <c r="AD1432"/>
      <c r="AM1432"/>
      <c r="AO1432"/>
    </row>
    <row r="1433" spans="13:41">
      <c r="M1433"/>
      <c r="R1433"/>
      <c r="V1433"/>
      <c r="Y1433"/>
      <c r="AD1433"/>
      <c r="AM1433"/>
      <c r="AO1433"/>
    </row>
    <row r="1434" spans="13:41">
      <c r="M1434"/>
      <c r="R1434"/>
      <c r="V1434"/>
      <c r="Y1434"/>
      <c r="AD1434"/>
      <c r="AM1434"/>
      <c r="AO1434"/>
    </row>
    <row r="1435" spans="13:41">
      <c r="M1435"/>
      <c r="R1435"/>
      <c r="V1435"/>
      <c r="Y1435"/>
      <c r="AD1435"/>
      <c r="AM1435"/>
      <c r="AO1435"/>
    </row>
    <row r="1436" spans="13:41">
      <c r="M1436"/>
      <c r="R1436"/>
      <c r="V1436"/>
      <c r="Y1436"/>
      <c r="AD1436"/>
      <c r="AM1436"/>
      <c r="AO1436"/>
    </row>
    <row r="1437" spans="13:41">
      <c r="M1437"/>
      <c r="R1437"/>
      <c r="V1437"/>
      <c r="Y1437"/>
      <c r="AD1437"/>
      <c r="AM1437"/>
      <c r="AO1437"/>
    </row>
    <row r="1438" spans="13:41">
      <c r="M1438"/>
      <c r="R1438"/>
      <c r="V1438"/>
      <c r="Y1438"/>
      <c r="AD1438"/>
      <c r="AM1438"/>
      <c r="AO1438"/>
    </row>
    <row r="1439" spans="13:41">
      <c r="M1439"/>
      <c r="R1439"/>
      <c r="V1439"/>
      <c r="Y1439"/>
      <c r="AD1439"/>
      <c r="AM1439"/>
      <c r="AO1439"/>
    </row>
    <row r="1440" spans="13:41">
      <c r="M1440"/>
      <c r="R1440"/>
      <c r="V1440"/>
      <c r="Y1440"/>
      <c r="AD1440"/>
      <c r="AM1440"/>
      <c r="AO1440"/>
    </row>
    <row r="1441" spans="13:41">
      <c r="M1441"/>
      <c r="R1441"/>
      <c r="V1441"/>
      <c r="Y1441"/>
      <c r="AD1441"/>
      <c r="AM1441"/>
      <c r="AO1441"/>
    </row>
    <row r="1442" spans="13:41">
      <c r="M1442"/>
      <c r="R1442"/>
      <c r="V1442"/>
      <c r="Y1442"/>
      <c r="AD1442"/>
      <c r="AM1442"/>
      <c r="AO1442"/>
    </row>
    <row r="1443" spans="13:41">
      <c r="M1443"/>
      <c r="R1443"/>
      <c r="V1443"/>
      <c r="Y1443"/>
      <c r="AD1443"/>
      <c r="AM1443"/>
      <c r="AO1443"/>
    </row>
    <row r="1444" spans="13:41">
      <c r="M1444"/>
      <c r="R1444"/>
      <c r="V1444"/>
      <c r="Y1444"/>
      <c r="AD1444"/>
      <c r="AM1444"/>
      <c r="AO1444"/>
    </row>
    <row r="1445" spans="13:41">
      <c r="M1445"/>
      <c r="R1445"/>
      <c r="V1445"/>
      <c r="Y1445"/>
      <c r="AD1445"/>
      <c r="AM1445"/>
      <c r="AO1445"/>
    </row>
    <row r="1446" spans="13:41">
      <c r="M1446"/>
      <c r="R1446"/>
      <c r="V1446"/>
      <c r="Y1446"/>
      <c r="AD1446"/>
      <c r="AM1446"/>
      <c r="AO1446"/>
    </row>
    <row r="1447" spans="13:41">
      <c r="M1447"/>
      <c r="R1447"/>
      <c r="V1447"/>
      <c r="Y1447"/>
      <c r="AD1447"/>
      <c r="AM1447"/>
      <c r="AO1447"/>
    </row>
    <row r="1448" spans="13:41">
      <c r="M1448"/>
      <c r="R1448"/>
      <c r="V1448"/>
      <c r="Y1448"/>
      <c r="AD1448"/>
      <c r="AM1448"/>
      <c r="AO1448"/>
    </row>
    <row r="1449" spans="13:41">
      <c r="M1449"/>
      <c r="R1449"/>
      <c r="V1449"/>
      <c r="Y1449"/>
      <c r="AD1449"/>
      <c r="AM1449"/>
      <c r="AO1449"/>
    </row>
    <row r="1450" spans="13:41">
      <c r="M1450"/>
      <c r="R1450"/>
      <c r="V1450"/>
      <c r="Y1450"/>
      <c r="AD1450"/>
      <c r="AM1450"/>
      <c r="AO1450"/>
    </row>
    <row r="1451" spans="13:41">
      <c r="M1451"/>
      <c r="R1451"/>
      <c r="V1451"/>
      <c r="Y1451"/>
      <c r="AD1451"/>
      <c r="AM1451"/>
      <c r="AO1451"/>
    </row>
    <row r="1452" spans="13:41">
      <c r="M1452"/>
      <c r="R1452"/>
      <c r="V1452"/>
      <c r="Y1452"/>
      <c r="AD1452"/>
      <c r="AM1452"/>
      <c r="AO1452"/>
    </row>
    <row r="1453" spans="13:41">
      <c r="M1453"/>
      <c r="R1453"/>
      <c r="V1453"/>
      <c r="Y1453"/>
      <c r="AD1453"/>
      <c r="AM1453"/>
      <c r="AO1453"/>
    </row>
    <row r="1454" spans="13:41">
      <c r="M1454"/>
      <c r="R1454"/>
      <c r="V1454"/>
      <c r="Y1454"/>
      <c r="AD1454"/>
      <c r="AM1454"/>
      <c r="AO1454"/>
    </row>
    <row r="1455" spans="13:41">
      <c r="M1455"/>
      <c r="R1455"/>
      <c r="V1455"/>
      <c r="Y1455"/>
      <c r="AD1455"/>
      <c r="AM1455"/>
      <c r="AO1455"/>
    </row>
    <row r="1456" spans="13:41">
      <c r="M1456"/>
      <c r="R1456"/>
      <c r="V1456"/>
      <c r="Y1456"/>
      <c r="AD1456"/>
      <c r="AM1456"/>
      <c r="AO1456"/>
    </row>
    <row r="1457" spans="13:41">
      <c r="M1457"/>
      <c r="R1457"/>
      <c r="V1457"/>
      <c r="Y1457"/>
      <c r="AD1457"/>
      <c r="AM1457"/>
      <c r="AO1457"/>
    </row>
    <row r="1458" spans="13:41">
      <c r="M1458"/>
      <c r="R1458"/>
      <c r="V1458"/>
      <c r="Y1458"/>
      <c r="AD1458"/>
      <c r="AM1458"/>
      <c r="AO1458"/>
    </row>
    <row r="1459" spans="13:41">
      <c r="M1459"/>
      <c r="R1459"/>
      <c r="V1459"/>
      <c r="Y1459"/>
      <c r="AD1459"/>
      <c r="AM1459"/>
      <c r="AO1459"/>
    </row>
    <row r="1460" spans="13:41">
      <c r="M1460"/>
      <c r="R1460"/>
      <c r="V1460"/>
      <c r="Y1460"/>
      <c r="AD1460"/>
      <c r="AM1460"/>
      <c r="AO1460"/>
    </row>
    <row r="1461" spans="13:41">
      <c r="M1461"/>
      <c r="R1461"/>
      <c r="V1461"/>
      <c r="Y1461"/>
      <c r="AD1461"/>
      <c r="AM1461"/>
      <c r="AO1461"/>
    </row>
    <row r="1462" spans="13:41">
      <c r="M1462"/>
      <c r="R1462"/>
      <c r="V1462"/>
      <c r="Y1462"/>
      <c r="AD1462"/>
      <c r="AM1462"/>
      <c r="AO1462"/>
    </row>
    <row r="1463" spans="13:41">
      <c r="M1463"/>
      <c r="R1463"/>
      <c r="V1463"/>
      <c r="Y1463"/>
      <c r="AD1463"/>
      <c r="AM1463"/>
      <c r="AO1463"/>
    </row>
    <row r="1464" spans="13:41">
      <c r="M1464"/>
      <c r="R1464"/>
      <c r="V1464"/>
      <c r="Y1464"/>
      <c r="AD1464"/>
      <c r="AM1464"/>
      <c r="AO1464"/>
    </row>
    <row r="1465" spans="13:41">
      <c r="M1465"/>
      <c r="R1465"/>
      <c r="V1465"/>
      <c r="Y1465"/>
      <c r="AD1465"/>
      <c r="AM1465"/>
      <c r="AO1465"/>
    </row>
    <row r="1466" spans="13:41">
      <c r="M1466"/>
      <c r="R1466"/>
      <c r="V1466"/>
      <c r="Y1466"/>
      <c r="AD1466"/>
      <c r="AM1466"/>
      <c r="AO1466"/>
    </row>
    <row r="1467" spans="13:41">
      <c r="M1467"/>
      <c r="R1467"/>
      <c r="V1467"/>
      <c r="Y1467"/>
      <c r="AD1467"/>
      <c r="AM1467"/>
      <c r="AO1467"/>
    </row>
    <row r="1468" spans="13:41">
      <c r="M1468"/>
      <c r="R1468"/>
      <c r="V1468"/>
      <c r="Y1468"/>
      <c r="AD1468"/>
      <c r="AM1468"/>
      <c r="AO1468"/>
    </row>
    <row r="1469" spans="13:41">
      <c r="M1469"/>
      <c r="R1469"/>
      <c r="V1469"/>
      <c r="Y1469"/>
      <c r="AD1469"/>
      <c r="AM1469"/>
      <c r="AO1469"/>
    </row>
    <row r="1470" spans="13:41">
      <c r="M1470"/>
      <c r="R1470"/>
      <c r="V1470"/>
      <c r="Y1470"/>
      <c r="AD1470"/>
      <c r="AM1470"/>
      <c r="AO1470"/>
    </row>
    <row r="1471" spans="13:41">
      <c r="M1471"/>
      <c r="R1471"/>
      <c r="V1471"/>
      <c r="Y1471"/>
      <c r="AD1471"/>
      <c r="AM1471"/>
      <c r="AO1471"/>
    </row>
    <row r="1472" spans="13:41">
      <c r="M1472"/>
      <c r="R1472"/>
      <c r="V1472"/>
      <c r="Y1472"/>
      <c r="AD1472"/>
      <c r="AM1472"/>
      <c r="AO1472"/>
    </row>
    <row r="1473" spans="13:41">
      <c r="M1473"/>
      <c r="R1473"/>
      <c r="V1473"/>
      <c r="Y1473"/>
      <c r="AD1473"/>
      <c r="AM1473"/>
      <c r="AO1473"/>
    </row>
    <row r="1474" spans="13:41">
      <c r="M1474"/>
      <c r="R1474"/>
      <c r="V1474"/>
      <c r="Y1474"/>
      <c r="AD1474"/>
      <c r="AM1474"/>
      <c r="AO1474"/>
    </row>
    <row r="1475" spans="13:41">
      <c r="M1475"/>
      <c r="R1475"/>
      <c r="V1475"/>
      <c r="Y1475"/>
      <c r="AD1475"/>
      <c r="AM1475"/>
      <c r="AO1475"/>
    </row>
    <row r="1476" spans="13:41">
      <c r="M1476"/>
      <c r="R1476"/>
      <c r="V1476"/>
      <c r="Y1476"/>
      <c r="AD1476"/>
      <c r="AM1476"/>
      <c r="AO1476"/>
    </row>
    <row r="1477" spans="13:41">
      <c r="M1477"/>
      <c r="R1477"/>
      <c r="V1477"/>
      <c r="Y1477"/>
      <c r="AD1477"/>
      <c r="AM1477"/>
      <c r="AO1477"/>
    </row>
    <row r="1478" spans="13:41">
      <c r="M1478"/>
      <c r="R1478"/>
      <c r="V1478"/>
      <c r="Y1478"/>
      <c r="AD1478"/>
      <c r="AM1478"/>
      <c r="AO1478"/>
    </row>
    <row r="1479" spans="13:41">
      <c r="M1479"/>
      <c r="R1479"/>
      <c r="V1479"/>
      <c r="Y1479"/>
      <c r="AD1479"/>
      <c r="AM1479"/>
      <c r="AO1479"/>
    </row>
    <row r="1480" spans="13:41">
      <c r="M1480"/>
      <c r="R1480"/>
      <c r="V1480"/>
      <c r="Y1480"/>
      <c r="AD1480"/>
      <c r="AM1480"/>
      <c r="AO1480"/>
    </row>
    <row r="1481" spans="13:41">
      <c r="M1481"/>
      <c r="R1481"/>
      <c r="V1481"/>
      <c r="Y1481"/>
      <c r="AD1481"/>
      <c r="AM1481"/>
      <c r="AO1481"/>
    </row>
    <row r="1482" spans="13:41">
      <c r="M1482"/>
      <c r="R1482"/>
      <c r="V1482"/>
      <c r="Y1482"/>
      <c r="AD1482"/>
      <c r="AM1482"/>
      <c r="AO1482"/>
    </row>
    <row r="1483" spans="13:41">
      <c r="M1483"/>
      <c r="R1483"/>
      <c r="V1483"/>
      <c r="Y1483"/>
      <c r="AD1483"/>
      <c r="AM1483"/>
      <c r="AO1483"/>
    </row>
    <row r="1484" spans="13:41">
      <c r="M1484"/>
      <c r="R1484"/>
      <c r="V1484"/>
      <c r="Y1484"/>
      <c r="AD1484"/>
      <c r="AM1484"/>
      <c r="AO1484"/>
    </row>
    <row r="1485" spans="13:41">
      <c r="M1485"/>
      <c r="R1485"/>
      <c r="V1485"/>
      <c r="Y1485"/>
      <c r="AD1485"/>
      <c r="AM1485"/>
      <c r="AO1485"/>
    </row>
    <row r="1486" spans="13:41">
      <c r="M1486"/>
      <c r="R1486"/>
      <c r="V1486"/>
      <c r="Y1486"/>
      <c r="AD1486"/>
      <c r="AM1486"/>
      <c r="AO1486"/>
    </row>
    <row r="1487" spans="13:41">
      <c r="M1487"/>
      <c r="R1487"/>
      <c r="V1487"/>
      <c r="Y1487"/>
      <c r="AD1487"/>
      <c r="AM1487"/>
      <c r="AO1487"/>
    </row>
    <row r="1488" spans="13:41">
      <c r="M1488"/>
      <c r="R1488"/>
      <c r="V1488"/>
      <c r="Y1488"/>
      <c r="AD1488"/>
      <c r="AM1488"/>
      <c r="AO1488"/>
    </row>
    <row r="1489" spans="13:41">
      <c r="M1489"/>
      <c r="R1489"/>
      <c r="V1489"/>
      <c r="Y1489"/>
      <c r="AD1489"/>
      <c r="AM1489"/>
      <c r="AO1489"/>
    </row>
    <row r="1490" spans="13:41">
      <c r="M1490"/>
      <c r="R1490"/>
      <c r="V1490"/>
      <c r="Y1490"/>
      <c r="AD1490"/>
      <c r="AM1490"/>
      <c r="AO1490"/>
    </row>
    <row r="1491" spans="13:41">
      <c r="M1491"/>
      <c r="R1491"/>
      <c r="V1491"/>
      <c r="Y1491"/>
      <c r="AD1491"/>
      <c r="AM1491"/>
      <c r="AO1491"/>
    </row>
    <row r="1492" spans="13:41">
      <c r="M1492"/>
      <c r="R1492"/>
      <c r="V1492"/>
      <c r="Y1492"/>
      <c r="AD1492"/>
      <c r="AM1492"/>
      <c r="AO1492"/>
    </row>
    <row r="1493" spans="13:41">
      <c r="M1493"/>
      <c r="R1493"/>
      <c r="V1493"/>
      <c r="Y1493"/>
      <c r="AD1493"/>
      <c r="AM1493"/>
      <c r="AO1493"/>
    </row>
    <row r="1494" spans="13:41">
      <c r="M1494"/>
      <c r="R1494"/>
      <c r="V1494"/>
      <c r="Y1494"/>
      <c r="AD1494"/>
      <c r="AM1494"/>
      <c r="AO1494"/>
    </row>
    <row r="1495" spans="13:41">
      <c r="M1495"/>
      <c r="R1495"/>
      <c r="V1495"/>
      <c r="Y1495"/>
      <c r="AD1495"/>
      <c r="AM1495"/>
      <c r="AO1495"/>
    </row>
    <row r="1496" spans="13:41">
      <c r="M1496"/>
      <c r="R1496"/>
      <c r="V1496"/>
      <c r="Y1496"/>
      <c r="AD1496"/>
      <c r="AM1496"/>
      <c r="AO1496"/>
    </row>
    <row r="1497" spans="13:41">
      <c r="M1497"/>
      <c r="R1497"/>
      <c r="V1497"/>
      <c r="Y1497"/>
      <c r="AD1497"/>
      <c r="AM1497"/>
      <c r="AO1497"/>
    </row>
    <row r="1498" spans="13:41">
      <c r="M1498"/>
      <c r="R1498"/>
      <c r="V1498"/>
      <c r="Y1498"/>
      <c r="AD1498"/>
      <c r="AM1498"/>
      <c r="AO1498"/>
    </row>
    <row r="1499" spans="13:41">
      <c r="M1499"/>
      <c r="R1499"/>
      <c r="V1499"/>
      <c r="Y1499"/>
      <c r="AD1499"/>
      <c r="AM1499"/>
      <c r="AO1499"/>
    </row>
    <row r="1500" spans="13:41">
      <c r="M1500"/>
      <c r="R1500"/>
      <c r="V1500"/>
      <c r="Y1500"/>
      <c r="AD1500"/>
      <c r="AM1500"/>
      <c r="AO1500"/>
    </row>
    <row r="1501" spans="13:41">
      <c r="M1501"/>
      <c r="R1501"/>
      <c r="V1501"/>
      <c r="Y1501"/>
      <c r="AD1501"/>
      <c r="AM1501"/>
      <c r="AO1501"/>
    </row>
    <row r="1502" spans="13:41">
      <c r="M1502"/>
      <c r="R1502"/>
      <c r="V1502"/>
      <c r="Y1502"/>
      <c r="AD1502"/>
      <c r="AM1502"/>
      <c r="AO1502"/>
    </row>
    <row r="1503" spans="13:41">
      <c r="M1503"/>
      <c r="R1503"/>
      <c r="V1503"/>
      <c r="Y1503"/>
      <c r="AD1503"/>
      <c r="AM1503"/>
      <c r="AO1503"/>
    </row>
    <row r="1504" spans="13:41">
      <c r="M1504"/>
      <c r="R1504"/>
      <c r="V1504"/>
      <c r="Y1504"/>
      <c r="AD1504"/>
      <c r="AM1504"/>
      <c r="AO1504"/>
    </row>
    <row r="1505" spans="13:41">
      <c r="M1505"/>
      <c r="R1505"/>
      <c r="V1505"/>
      <c r="Y1505"/>
      <c r="AD1505"/>
      <c r="AM1505"/>
      <c r="AO1505"/>
    </row>
    <row r="1506" spans="13:41">
      <c r="M1506"/>
      <c r="R1506"/>
      <c r="V1506"/>
      <c r="Y1506"/>
      <c r="AD1506"/>
      <c r="AM1506"/>
      <c r="AO1506"/>
    </row>
    <row r="1507" spans="13:41">
      <c r="M1507"/>
      <c r="R1507"/>
      <c r="V1507"/>
      <c r="Y1507"/>
      <c r="AD1507"/>
      <c r="AM1507"/>
      <c r="AO1507"/>
    </row>
    <row r="1508" spans="13:41">
      <c r="M1508"/>
      <c r="R1508"/>
      <c r="V1508"/>
      <c r="Y1508"/>
      <c r="AD1508"/>
      <c r="AM1508"/>
      <c r="AO1508"/>
    </row>
    <row r="1509" spans="13:41">
      <c r="M1509"/>
      <c r="R1509"/>
      <c r="V1509"/>
      <c r="Y1509"/>
      <c r="AD1509"/>
      <c r="AM1509"/>
      <c r="AO1509"/>
    </row>
    <row r="1510" spans="13:41">
      <c r="M1510"/>
      <c r="R1510"/>
      <c r="V1510"/>
      <c r="Y1510"/>
      <c r="AD1510"/>
      <c r="AM1510"/>
      <c r="AO1510"/>
    </row>
    <row r="1511" spans="13:41">
      <c r="M1511"/>
      <c r="R1511"/>
      <c r="V1511"/>
      <c r="Y1511"/>
      <c r="AD1511"/>
      <c r="AM1511"/>
      <c r="AO1511"/>
    </row>
    <row r="1512" spans="13:41">
      <c r="M1512"/>
      <c r="R1512"/>
      <c r="V1512"/>
      <c r="Y1512"/>
      <c r="AD1512"/>
      <c r="AM1512"/>
      <c r="AO1512"/>
    </row>
    <row r="1513" spans="13:41">
      <c r="M1513"/>
      <c r="R1513"/>
      <c r="V1513"/>
      <c r="Y1513"/>
      <c r="AD1513"/>
      <c r="AM1513"/>
      <c r="AO1513"/>
    </row>
    <row r="1514" spans="13:41">
      <c r="M1514"/>
      <c r="R1514"/>
      <c r="V1514"/>
      <c r="Y1514"/>
      <c r="AD1514"/>
      <c r="AM1514"/>
      <c r="AO1514"/>
    </row>
    <row r="1515" spans="13:41">
      <c r="M1515"/>
      <c r="R1515"/>
      <c r="V1515"/>
      <c r="Y1515"/>
      <c r="AD1515"/>
      <c r="AM1515"/>
      <c r="AO1515"/>
    </row>
    <row r="1516" spans="13:41">
      <c r="M1516"/>
      <c r="R1516"/>
      <c r="V1516"/>
      <c r="Y1516"/>
      <c r="AD1516"/>
      <c r="AM1516"/>
      <c r="AO1516"/>
    </row>
    <row r="1517" spans="13:41">
      <c r="M1517"/>
      <c r="R1517"/>
      <c r="V1517"/>
      <c r="Y1517"/>
      <c r="AD1517"/>
      <c r="AM1517"/>
      <c r="AO1517"/>
    </row>
    <row r="1518" spans="13:41">
      <c r="M1518"/>
      <c r="R1518"/>
      <c r="V1518"/>
      <c r="Y1518"/>
      <c r="AD1518"/>
      <c r="AM1518"/>
      <c r="AO1518"/>
    </row>
    <row r="1519" spans="13:41">
      <c r="M1519"/>
      <c r="R1519"/>
      <c r="V1519"/>
      <c r="Y1519"/>
      <c r="AD1519"/>
      <c r="AM1519"/>
      <c r="AO1519"/>
    </row>
    <row r="1520" spans="13:41">
      <c r="M1520"/>
      <c r="R1520"/>
      <c r="V1520"/>
      <c r="Y1520"/>
      <c r="AD1520"/>
      <c r="AM1520"/>
      <c r="AO1520"/>
    </row>
    <row r="1521" spans="13:41">
      <c r="M1521"/>
      <c r="R1521"/>
      <c r="V1521"/>
      <c r="Y1521"/>
      <c r="AD1521"/>
      <c r="AM1521"/>
      <c r="AO1521"/>
    </row>
    <row r="1522" spans="13:41">
      <c r="M1522"/>
      <c r="R1522"/>
      <c r="V1522"/>
      <c r="Y1522"/>
      <c r="AD1522"/>
      <c r="AM1522"/>
      <c r="AO1522"/>
    </row>
    <row r="1523" spans="13:41">
      <c r="M1523"/>
      <c r="R1523"/>
      <c r="V1523"/>
      <c r="Y1523"/>
      <c r="AD1523"/>
      <c r="AM1523"/>
      <c r="AO1523"/>
    </row>
    <row r="1524" spans="13:41">
      <c r="M1524"/>
      <c r="R1524"/>
      <c r="V1524"/>
      <c r="Y1524"/>
      <c r="AD1524"/>
      <c r="AM1524"/>
      <c r="AO1524"/>
    </row>
    <row r="1525" spans="13:41">
      <c r="M1525"/>
      <c r="R1525"/>
      <c r="V1525"/>
      <c r="Y1525"/>
      <c r="AD1525"/>
      <c r="AM1525"/>
      <c r="AO1525"/>
    </row>
    <row r="1526" spans="13:41">
      <c r="M1526"/>
      <c r="R1526"/>
      <c r="V1526"/>
      <c r="Y1526"/>
      <c r="AD1526"/>
      <c r="AM1526"/>
      <c r="AO1526"/>
    </row>
    <row r="1527" spans="13:41">
      <c r="M1527"/>
      <c r="R1527"/>
      <c r="V1527"/>
      <c r="Y1527"/>
      <c r="AD1527"/>
      <c r="AM1527"/>
      <c r="AO1527"/>
    </row>
    <row r="1528" spans="13:41">
      <c r="M1528"/>
      <c r="R1528"/>
      <c r="V1528"/>
      <c r="Y1528"/>
      <c r="AD1528"/>
      <c r="AM1528"/>
      <c r="AO1528"/>
    </row>
    <row r="1529" spans="13:41">
      <c r="M1529"/>
      <c r="R1529"/>
      <c r="V1529"/>
      <c r="Y1529"/>
      <c r="AD1529"/>
      <c r="AM1529"/>
      <c r="AO1529"/>
    </row>
    <row r="1530" spans="13:41">
      <c r="M1530"/>
      <c r="R1530"/>
      <c r="V1530"/>
      <c r="Y1530"/>
      <c r="AD1530"/>
      <c r="AM1530"/>
      <c r="AO1530"/>
    </row>
    <row r="1531" spans="13:41">
      <c r="M1531"/>
      <c r="R1531"/>
      <c r="V1531"/>
      <c r="Y1531"/>
      <c r="AD1531"/>
      <c r="AM1531"/>
      <c r="AO1531"/>
    </row>
    <row r="1532" spans="13:41">
      <c r="M1532"/>
      <c r="R1532"/>
      <c r="V1532"/>
      <c r="Y1532"/>
      <c r="AD1532"/>
      <c r="AM1532"/>
      <c r="AO1532"/>
    </row>
    <row r="1533" spans="13:41">
      <c r="M1533"/>
      <c r="R1533"/>
      <c r="V1533"/>
      <c r="Y1533"/>
      <c r="AD1533"/>
      <c r="AM1533"/>
      <c r="AO1533"/>
    </row>
    <row r="1534" spans="13:41">
      <c r="M1534"/>
      <c r="R1534"/>
      <c r="V1534"/>
      <c r="Y1534"/>
      <c r="AD1534"/>
      <c r="AM1534"/>
      <c r="AO1534"/>
    </row>
    <row r="1535" spans="13:41">
      <c r="M1535"/>
      <c r="R1535"/>
      <c r="V1535"/>
      <c r="Y1535"/>
      <c r="AD1535"/>
      <c r="AM1535"/>
      <c r="AO1535"/>
    </row>
    <row r="1536" spans="13:41">
      <c r="M1536"/>
      <c r="R1536"/>
      <c r="V1536"/>
      <c r="Y1536"/>
      <c r="AD1536"/>
      <c r="AM1536"/>
      <c r="AO1536"/>
    </row>
    <row r="1537" spans="13:41">
      <c r="M1537"/>
      <c r="R1537"/>
      <c r="V1537"/>
      <c r="Y1537"/>
      <c r="AD1537"/>
      <c r="AM1537"/>
      <c r="AO1537"/>
    </row>
    <row r="1538" spans="13:41">
      <c r="M1538"/>
      <c r="R1538"/>
      <c r="V1538"/>
      <c r="Y1538"/>
      <c r="AD1538"/>
      <c r="AM1538"/>
      <c r="AO1538"/>
    </row>
    <row r="1539" spans="13:41">
      <c r="M1539"/>
      <c r="R1539"/>
      <c r="V1539"/>
      <c r="Y1539"/>
      <c r="AD1539"/>
      <c r="AM1539"/>
      <c r="AO1539"/>
    </row>
    <row r="1540" spans="13:41">
      <c r="M1540"/>
      <c r="R1540"/>
      <c r="V1540"/>
      <c r="Y1540"/>
      <c r="AD1540"/>
      <c r="AM1540"/>
      <c r="AO1540"/>
    </row>
    <row r="1541" spans="13:41">
      <c r="M1541"/>
      <c r="R1541"/>
      <c r="V1541"/>
      <c r="Y1541"/>
      <c r="AD1541"/>
      <c r="AM1541"/>
      <c r="AO1541"/>
    </row>
    <row r="1542" spans="13:41">
      <c r="M1542"/>
      <c r="R1542"/>
      <c r="V1542"/>
      <c r="Y1542"/>
      <c r="AD1542"/>
      <c r="AM1542"/>
      <c r="AO1542"/>
    </row>
    <row r="1543" spans="13:41">
      <c r="M1543"/>
      <c r="R1543"/>
      <c r="V1543"/>
      <c r="Y1543"/>
      <c r="AD1543"/>
      <c r="AM1543"/>
      <c r="AO1543"/>
    </row>
    <row r="1544" spans="13:41">
      <c r="M1544"/>
      <c r="R1544"/>
      <c r="V1544"/>
      <c r="Y1544"/>
      <c r="AD1544"/>
      <c r="AM1544"/>
      <c r="AO1544"/>
    </row>
    <row r="1545" spans="13:41">
      <c r="M1545"/>
      <c r="R1545"/>
      <c r="V1545"/>
      <c r="Y1545"/>
      <c r="AD1545"/>
      <c r="AM1545"/>
      <c r="AO1545"/>
    </row>
    <row r="1546" spans="13:41">
      <c r="M1546"/>
      <c r="R1546"/>
      <c r="V1546"/>
      <c r="Y1546"/>
      <c r="AD1546"/>
      <c r="AM1546"/>
      <c r="AO1546"/>
    </row>
    <row r="1547" spans="13:41">
      <c r="M1547"/>
      <c r="R1547"/>
      <c r="V1547"/>
      <c r="Y1547"/>
      <c r="AD1547"/>
      <c r="AM1547"/>
      <c r="AO1547"/>
    </row>
    <row r="1548" spans="13:41">
      <c r="M1548"/>
      <c r="R1548"/>
      <c r="V1548"/>
      <c r="Y1548"/>
      <c r="AD1548"/>
      <c r="AM1548"/>
      <c r="AO1548"/>
    </row>
    <row r="1549" spans="13:41">
      <c r="M1549"/>
      <c r="R1549"/>
      <c r="V1549"/>
      <c r="Y1549"/>
      <c r="AD1549"/>
      <c r="AM1549"/>
      <c r="AO1549"/>
    </row>
    <row r="1550" spans="13:41">
      <c r="M1550"/>
      <c r="R1550"/>
      <c r="V1550"/>
      <c r="Y1550"/>
      <c r="AD1550"/>
      <c r="AM1550"/>
      <c r="AO1550"/>
    </row>
    <row r="1551" spans="13:41">
      <c r="M1551"/>
      <c r="R1551"/>
      <c r="V1551"/>
      <c r="Y1551"/>
      <c r="AD1551"/>
      <c r="AM1551"/>
      <c r="AO1551"/>
    </row>
    <row r="1552" spans="13:41">
      <c r="M1552"/>
      <c r="R1552"/>
      <c r="V1552"/>
      <c r="Y1552"/>
      <c r="AD1552"/>
      <c r="AM1552"/>
      <c r="AO1552"/>
    </row>
    <row r="1553" spans="13:41">
      <c r="M1553"/>
      <c r="R1553"/>
      <c r="V1553"/>
      <c r="Y1553"/>
      <c r="AD1553"/>
      <c r="AM1553"/>
      <c r="AO1553"/>
    </row>
    <row r="1554" spans="13:41">
      <c r="M1554"/>
      <c r="R1554"/>
      <c r="V1554"/>
      <c r="Y1554"/>
      <c r="AD1554"/>
      <c r="AM1554"/>
      <c r="AO1554"/>
    </row>
    <row r="1555" spans="13:41">
      <c r="M1555"/>
      <c r="R1555"/>
      <c r="V1555"/>
      <c r="Y1555"/>
      <c r="AD1555"/>
      <c r="AM1555"/>
      <c r="AO1555"/>
    </row>
    <row r="1556" spans="13:41">
      <c r="M1556"/>
      <c r="R1556"/>
      <c r="V1556"/>
      <c r="Y1556"/>
      <c r="AD1556"/>
      <c r="AM1556"/>
      <c r="AO1556"/>
    </row>
    <row r="1557" spans="13:41">
      <c r="M1557"/>
      <c r="R1557"/>
      <c r="V1557"/>
      <c r="Y1557"/>
      <c r="AD1557"/>
      <c r="AM1557"/>
      <c r="AO1557"/>
    </row>
    <row r="1558" spans="13:41">
      <c r="M1558"/>
      <c r="R1558"/>
      <c r="V1558"/>
      <c r="Y1558"/>
      <c r="AD1558"/>
      <c r="AM1558"/>
      <c r="AO1558"/>
    </row>
    <row r="1559" spans="13:41">
      <c r="M1559"/>
      <c r="R1559"/>
      <c r="V1559"/>
      <c r="Y1559"/>
      <c r="AD1559"/>
      <c r="AM1559"/>
      <c r="AO1559"/>
    </row>
    <row r="1560" spans="13:41">
      <c r="M1560"/>
      <c r="R1560"/>
      <c r="V1560"/>
      <c r="Y1560"/>
      <c r="AD1560"/>
      <c r="AM1560"/>
      <c r="AO1560"/>
    </row>
    <row r="1561" spans="13:41">
      <c r="M1561"/>
      <c r="R1561"/>
      <c r="V1561"/>
      <c r="Y1561"/>
      <c r="AD1561"/>
      <c r="AM1561"/>
      <c r="AO1561"/>
    </row>
    <row r="1562" spans="13:41">
      <c r="M1562"/>
      <c r="R1562"/>
      <c r="V1562"/>
      <c r="Y1562"/>
      <c r="AD1562"/>
      <c r="AM1562"/>
      <c r="AO1562"/>
    </row>
    <row r="1563" spans="13:41">
      <c r="M1563"/>
      <c r="R1563"/>
      <c r="V1563"/>
      <c r="Y1563"/>
      <c r="AD1563"/>
      <c r="AM1563"/>
      <c r="AO1563"/>
    </row>
    <row r="1564" spans="13:41">
      <c r="M1564"/>
      <c r="R1564"/>
      <c r="V1564"/>
      <c r="Y1564"/>
      <c r="AD1564"/>
      <c r="AM1564"/>
      <c r="AO1564"/>
    </row>
    <row r="1565" spans="13:41">
      <c r="M1565"/>
      <c r="R1565"/>
      <c r="V1565"/>
      <c r="Y1565"/>
      <c r="AD1565"/>
      <c r="AM1565"/>
      <c r="AO1565"/>
    </row>
    <row r="1566" spans="13:41">
      <c r="M1566"/>
      <c r="R1566"/>
      <c r="V1566"/>
      <c r="Y1566"/>
      <c r="AD1566"/>
      <c r="AM1566"/>
      <c r="AO1566"/>
    </row>
    <row r="1567" spans="13:41">
      <c r="M1567"/>
      <c r="R1567"/>
      <c r="V1567"/>
      <c r="Y1567"/>
      <c r="AD1567"/>
      <c r="AM1567"/>
      <c r="AO1567"/>
    </row>
    <row r="1568" spans="13:41">
      <c r="M1568"/>
      <c r="R1568"/>
      <c r="V1568"/>
      <c r="Y1568"/>
      <c r="AD1568"/>
      <c r="AM1568"/>
      <c r="AO1568"/>
    </row>
    <row r="1569" spans="13:41">
      <c r="M1569"/>
      <c r="R1569"/>
      <c r="V1569"/>
      <c r="Y1569"/>
      <c r="AD1569"/>
      <c r="AM1569"/>
      <c r="AO1569"/>
    </row>
    <row r="1570" spans="13:41">
      <c r="M1570"/>
      <c r="R1570"/>
      <c r="V1570"/>
      <c r="Y1570"/>
      <c r="AD1570"/>
      <c r="AM1570"/>
      <c r="AO1570"/>
    </row>
    <row r="1571" spans="13:41">
      <c r="M1571"/>
      <c r="R1571"/>
      <c r="V1571"/>
      <c r="Y1571"/>
      <c r="AD1571"/>
      <c r="AM1571"/>
      <c r="AO1571"/>
    </row>
    <row r="1572" spans="13:41">
      <c r="M1572"/>
      <c r="R1572"/>
      <c r="V1572"/>
      <c r="Y1572"/>
      <c r="AD1572"/>
      <c r="AM1572"/>
      <c r="AO1572"/>
    </row>
    <row r="1573" spans="13:41">
      <c r="M1573"/>
      <c r="R1573"/>
      <c r="V1573"/>
      <c r="Y1573"/>
      <c r="AD1573"/>
      <c r="AM1573"/>
      <c r="AO1573"/>
    </row>
    <row r="1574" spans="13:41">
      <c r="M1574"/>
      <c r="R1574"/>
      <c r="V1574"/>
      <c r="Y1574"/>
      <c r="AD1574"/>
      <c r="AM1574"/>
      <c r="AO1574"/>
    </row>
    <row r="1575" spans="13:41">
      <c r="M1575"/>
      <c r="R1575"/>
      <c r="V1575"/>
      <c r="Y1575"/>
      <c r="AD1575"/>
      <c r="AM1575"/>
      <c r="AO1575"/>
    </row>
    <row r="1576" spans="13:41">
      <c r="M1576"/>
      <c r="R1576"/>
      <c r="V1576"/>
      <c r="Y1576"/>
      <c r="AD1576"/>
      <c r="AM1576"/>
      <c r="AO1576"/>
    </row>
    <row r="1577" spans="13:41">
      <c r="M1577"/>
      <c r="R1577"/>
      <c r="V1577"/>
      <c r="Y1577"/>
      <c r="AD1577"/>
      <c r="AM1577"/>
      <c r="AO1577"/>
    </row>
    <row r="1578" spans="13:41">
      <c r="M1578"/>
      <c r="R1578"/>
      <c r="V1578"/>
      <c r="Y1578"/>
      <c r="AD1578"/>
      <c r="AM1578"/>
      <c r="AO1578"/>
    </row>
    <row r="1579" spans="13:41">
      <c r="M1579"/>
      <c r="R1579"/>
      <c r="V1579"/>
      <c r="Y1579"/>
      <c r="AD1579"/>
      <c r="AM1579"/>
      <c r="AO1579"/>
    </row>
    <row r="1580" spans="13:41">
      <c r="M1580"/>
      <c r="R1580"/>
      <c r="V1580"/>
      <c r="Y1580"/>
      <c r="AD1580"/>
      <c r="AM1580"/>
      <c r="AO1580"/>
    </row>
    <row r="1581" spans="13:41">
      <c r="M1581"/>
      <c r="R1581"/>
      <c r="V1581"/>
      <c r="Y1581"/>
      <c r="AD1581"/>
      <c r="AM1581"/>
      <c r="AO1581"/>
    </row>
    <row r="1582" spans="13:41">
      <c r="M1582"/>
      <c r="R1582"/>
      <c r="V1582"/>
      <c r="Y1582"/>
      <c r="AD1582"/>
      <c r="AM1582"/>
      <c r="AO1582"/>
    </row>
    <row r="1583" spans="13:41">
      <c r="M1583"/>
      <c r="R1583"/>
      <c r="V1583"/>
      <c r="Y1583"/>
      <c r="AD1583"/>
      <c r="AM1583"/>
      <c r="AO1583"/>
    </row>
    <row r="1584" spans="13:41">
      <c r="M1584"/>
      <c r="R1584"/>
      <c r="V1584"/>
      <c r="Y1584"/>
      <c r="AD1584"/>
      <c r="AM1584"/>
      <c r="AO1584"/>
    </row>
    <row r="1585" spans="13:41">
      <c r="M1585"/>
      <c r="R1585"/>
      <c r="V1585"/>
      <c r="Y1585"/>
      <c r="AD1585"/>
      <c r="AM1585"/>
      <c r="AO1585"/>
    </row>
    <row r="1586" spans="13:41">
      <c r="M1586"/>
      <c r="R1586"/>
      <c r="V1586"/>
      <c r="Y1586"/>
      <c r="AD1586"/>
      <c r="AM1586"/>
      <c r="AO1586"/>
    </row>
    <row r="1587" spans="13:41">
      <c r="M1587"/>
      <c r="R1587"/>
      <c r="V1587"/>
      <c r="Y1587"/>
      <c r="AD1587"/>
      <c r="AM1587"/>
      <c r="AO1587"/>
    </row>
    <row r="1588" spans="13:41">
      <c r="M1588"/>
      <c r="R1588"/>
      <c r="V1588"/>
      <c r="Y1588"/>
      <c r="AD1588"/>
      <c r="AM1588"/>
      <c r="AO1588"/>
    </row>
    <row r="1589" spans="13:41">
      <c r="M1589"/>
      <c r="R1589"/>
      <c r="V1589"/>
      <c r="Y1589"/>
      <c r="AD1589"/>
      <c r="AM1589"/>
      <c r="AO1589"/>
    </row>
    <row r="1590" spans="13:41">
      <c r="M1590"/>
      <c r="R1590"/>
      <c r="V1590"/>
      <c r="Y1590"/>
      <c r="AD1590"/>
      <c r="AM1590"/>
      <c r="AO1590"/>
    </row>
    <row r="1591" spans="13:41">
      <c r="M1591"/>
      <c r="R1591"/>
      <c r="V1591"/>
      <c r="Y1591"/>
      <c r="AD1591"/>
      <c r="AM1591"/>
      <c r="AO1591"/>
    </row>
    <row r="1592" spans="13:41">
      <c r="M1592"/>
      <c r="R1592"/>
      <c r="V1592"/>
      <c r="Y1592"/>
      <c r="AD1592"/>
      <c r="AM1592"/>
      <c r="AO1592"/>
    </row>
    <row r="1593" spans="13:41">
      <c r="M1593"/>
      <c r="R1593"/>
      <c r="V1593"/>
      <c r="Y1593"/>
      <c r="AD1593"/>
      <c r="AM1593"/>
      <c r="AO1593"/>
    </row>
    <row r="1594" spans="13:41">
      <c r="M1594"/>
      <c r="R1594"/>
      <c r="V1594"/>
      <c r="Y1594"/>
      <c r="AD1594"/>
      <c r="AM1594"/>
      <c r="AO1594"/>
    </row>
    <row r="1595" spans="13:41">
      <c r="M1595"/>
      <c r="R1595"/>
      <c r="V1595"/>
      <c r="Y1595"/>
      <c r="AD1595"/>
      <c r="AM1595"/>
      <c r="AO1595"/>
    </row>
    <row r="1596" spans="13:41">
      <c r="M1596"/>
      <c r="R1596"/>
      <c r="V1596"/>
      <c r="Y1596"/>
      <c r="AD1596"/>
      <c r="AM1596"/>
      <c r="AO1596"/>
    </row>
    <row r="1597" spans="13:41">
      <c r="M1597"/>
      <c r="R1597"/>
      <c r="V1597"/>
      <c r="Y1597"/>
      <c r="AD1597"/>
      <c r="AM1597"/>
      <c r="AO1597"/>
    </row>
    <row r="1598" spans="13:41">
      <c r="M1598"/>
      <c r="R1598"/>
      <c r="V1598"/>
      <c r="Y1598"/>
      <c r="AD1598"/>
      <c r="AM1598"/>
      <c r="AO1598"/>
    </row>
    <row r="1599" spans="13:41">
      <c r="M1599"/>
      <c r="R1599"/>
      <c r="V1599"/>
      <c r="Y1599"/>
      <c r="AD1599"/>
      <c r="AM1599"/>
      <c r="AO1599"/>
    </row>
    <row r="1600" spans="13:41">
      <c r="M1600"/>
      <c r="R1600"/>
      <c r="V1600"/>
      <c r="Y1600"/>
      <c r="AD1600"/>
      <c r="AM1600"/>
      <c r="AO1600"/>
    </row>
    <row r="1601" spans="13:41">
      <c r="M1601"/>
      <c r="R1601"/>
      <c r="V1601"/>
      <c r="Y1601"/>
      <c r="AD1601"/>
      <c r="AM1601"/>
      <c r="AO1601"/>
    </row>
    <row r="1602" spans="13:41">
      <c r="M1602"/>
      <c r="R1602"/>
      <c r="V1602"/>
      <c r="Y1602"/>
      <c r="AD1602"/>
      <c r="AM1602"/>
      <c r="AO1602"/>
    </row>
    <row r="1603" spans="13:41">
      <c r="M1603"/>
      <c r="R1603"/>
      <c r="V1603"/>
      <c r="Y1603"/>
      <c r="AD1603"/>
      <c r="AM1603"/>
      <c r="AO1603"/>
    </row>
    <row r="1604" spans="13:41">
      <c r="M1604"/>
      <c r="R1604"/>
      <c r="V1604"/>
      <c r="Y1604"/>
      <c r="AD1604"/>
      <c r="AM1604"/>
      <c r="AO1604"/>
    </row>
    <row r="1605" spans="13:41">
      <c r="M1605"/>
      <c r="R1605"/>
      <c r="V1605"/>
      <c r="Y1605"/>
      <c r="AD1605"/>
      <c r="AM1605"/>
      <c r="AO1605"/>
    </row>
    <row r="1606" spans="13:41">
      <c r="M1606"/>
      <c r="R1606"/>
      <c r="V1606"/>
      <c r="Y1606"/>
      <c r="AD1606"/>
      <c r="AM1606"/>
      <c r="AO1606"/>
    </row>
    <row r="1607" spans="13:41">
      <c r="M1607"/>
      <c r="R1607"/>
      <c r="V1607"/>
      <c r="Y1607"/>
      <c r="AD1607"/>
      <c r="AM1607"/>
      <c r="AO1607"/>
    </row>
    <row r="1608" spans="13:41">
      <c r="M1608"/>
      <c r="R1608"/>
      <c r="V1608"/>
      <c r="Y1608"/>
      <c r="AD1608"/>
      <c r="AM1608"/>
      <c r="AO1608"/>
    </row>
    <row r="1609" spans="13:41">
      <c r="M1609"/>
      <c r="R1609"/>
      <c r="V1609"/>
      <c r="Y1609"/>
      <c r="AD1609"/>
      <c r="AM1609"/>
      <c r="AO1609"/>
    </row>
    <row r="1610" spans="13:41">
      <c r="M1610"/>
      <c r="R1610"/>
      <c r="V1610"/>
      <c r="Y1610"/>
      <c r="AD1610"/>
      <c r="AM1610"/>
      <c r="AO1610"/>
    </row>
    <row r="1611" spans="13:41">
      <c r="M1611"/>
      <c r="R1611"/>
      <c r="V1611"/>
      <c r="Y1611"/>
      <c r="AD1611"/>
      <c r="AM1611"/>
      <c r="AO1611"/>
    </row>
    <row r="1612" spans="13:41">
      <c r="M1612"/>
      <c r="R1612"/>
      <c r="V1612"/>
      <c r="Y1612"/>
      <c r="AD1612"/>
      <c r="AM1612"/>
      <c r="AO1612"/>
    </row>
    <row r="1613" spans="13:41">
      <c r="M1613"/>
      <c r="R1613"/>
      <c r="V1613"/>
      <c r="Y1613"/>
      <c r="AD1613"/>
      <c r="AM1613"/>
      <c r="AO1613"/>
    </row>
    <row r="1614" spans="13:41">
      <c r="M1614"/>
      <c r="R1614"/>
      <c r="V1614"/>
      <c r="Y1614"/>
      <c r="AD1614"/>
      <c r="AM1614"/>
      <c r="AO1614"/>
    </row>
    <row r="1615" spans="13:41">
      <c r="M1615"/>
      <c r="R1615"/>
      <c r="V1615"/>
      <c r="Y1615"/>
      <c r="AD1615"/>
      <c r="AM1615"/>
      <c r="AO1615"/>
    </row>
    <row r="1616" spans="13:41">
      <c r="M1616"/>
      <c r="R1616"/>
      <c r="V1616"/>
      <c r="Y1616"/>
      <c r="AD1616"/>
      <c r="AM1616"/>
      <c r="AO1616"/>
    </row>
    <row r="1617" spans="13:41">
      <c r="M1617"/>
      <c r="R1617"/>
      <c r="V1617"/>
      <c r="Y1617"/>
      <c r="AD1617"/>
      <c r="AM1617"/>
      <c r="AO1617"/>
    </row>
    <row r="1618" spans="13:41">
      <c r="M1618"/>
      <c r="R1618"/>
      <c r="V1618"/>
      <c r="Y1618"/>
      <c r="AD1618"/>
      <c r="AM1618"/>
      <c r="AO1618"/>
    </row>
    <row r="1619" spans="13:41">
      <c r="M1619"/>
      <c r="R1619"/>
      <c r="V1619"/>
      <c r="Y1619"/>
      <c r="AD1619"/>
      <c r="AM1619"/>
      <c r="AO1619"/>
    </row>
    <row r="1620" spans="13:41">
      <c r="M1620"/>
      <c r="R1620"/>
      <c r="V1620"/>
      <c r="Y1620"/>
      <c r="AD1620"/>
      <c r="AM1620"/>
      <c r="AO1620"/>
    </row>
    <row r="1621" spans="13:41">
      <c r="M1621"/>
      <c r="R1621"/>
      <c r="V1621"/>
      <c r="Y1621"/>
      <c r="AD1621"/>
      <c r="AM1621"/>
      <c r="AO1621"/>
    </row>
    <row r="1622" spans="13:41">
      <c r="M1622"/>
      <c r="R1622"/>
      <c r="V1622"/>
      <c r="Y1622"/>
      <c r="AD1622"/>
      <c r="AM1622"/>
      <c r="AO1622"/>
    </row>
    <row r="1623" spans="13:41">
      <c r="M1623"/>
      <c r="R1623"/>
      <c r="V1623"/>
      <c r="Y1623"/>
      <c r="AD1623"/>
      <c r="AM1623"/>
      <c r="AO1623"/>
    </row>
    <row r="1624" spans="13:41">
      <c r="M1624"/>
      <c r="R1624"/>
      <c r="V1624"/>
      <c r="Y1624"/>
      <c r="AD1624"/>
      <c r="AM1624"/>
      <c r="AO1624"/>
    </row>
    <row r="1625" spans="13:41">
      <c r="M1625"/>
      <c r="R1625"/>
      <c r="V1625"/>
      <c r="Y1625"/>
      <c r="AD1625"/>
      <c r="AM1625"/>
      <c r="AO1625"/>
    </row>
    <row r="1626" spans="13:41">
      <c r="M1626"/>
      <c r="R1626"/>
      <c r="V1626"/>
      <c r="Y1626"/>
      <c r="AD1626"/>
      <c r="AM1626"/>
      <c r="AO1626"/>
    </row>
    <row r="1627" spans="13:41">
      <c r="M1627"/>
      <c r="R1627"/>
      <c r="V1627"/>
      <c r="Y1627"/>
      <c r="AD1627"/>
      <c r="AM1627"/>
      <c r="AO1627"/>
    </row>
    <row r="1628" spans="13:41">
      <c r="M1628"/>
      <c r="R1628"/>
      <c r="V1628"/>
      <c r="Y1628"/>
      <c r="AD1628"/>
      <c r="AM1628"/>
      <c r="AO1628"/>
    </row>
    <row r="1629" spans="13:41">
      <c r="M1629"/>
      <c r="R1629"/>
      <c r="V1629"/>
      <c r="Y1629"/>
      <c r="AD1629"/>
      <c r="AM1629"/>
      <c r="AO1629"/>
    </row>
    <row r="1630" spans="13:41">
      <c r="M1630"/>
      <c r="R1630"/>
      <c r="V1630"/>
      <c r="Y1630"/>
      <c r="AD1630"/>
      <c r="AM1630"/>
      <c r="AO1630"/>
    </row>
    <row r="1631" spans="13:41">
      <c r="M1631"/>
      <c r="R1631"/>
      <c r="V1631"/>
      <c r="Y1631"/>
      <c r="AD1631"/>
      <c r="AM1631"/>
      <c r="AO1631"/>
    </row>
    <row r="1632" spans="13:41">
      <c r="M1632"/>
      <c r="R1632"/>
      <c r="V1632"/>
      <c r="Y1632"/>
      <c r="AD1632"/>
      <c r="AM1632"/>
      <c r="AO1632"/>
    </row>
    <row r="1633" spans="13:41">
      <c r="M1633"/>
      <c r="R1633"/>
      <c r="V1633"/>
      <c r="Y1633"/>
      <c r="AD1633"/>
      <c r="AM1633"/>
      <c r="AO1633"/>
    </row>
    <row r="1634" spans="13:41">
      <c r="M1634"/>
      <c r="R1634"/>
      <c r="V1634"/>
      <c r="Y1634"/>
      <c r="AD1634"/>
      <c r="AM1634"/>
      <c r="AO1634"/>
    </row>
    <row r="1635" spans="13:41">
      <c r="M1635"/>
      <c r="R1635"/>
      <c r="V1635"/>
      <c r="Y1635"/>
      <c r="AD1635"/>
      <c r="AM1635"/>
      <c r="AO1635"/>
    </row>
    <row r="1636" spans="13:41">
      <c r="M1636"/>
      <c r="R1636"/>
      <c r="V1636"/>
      <c r="Y1636"/>
      <c r="AD1636"/>
      <c r="AM1636"/>
      <c r="AO1636"/>
    </row>
    <row r="1637" spans="13:41">
      <c r="M1637"/>
      <c r="R1637"/>
      <c r="V1637"/>
      <c r="Y1637"/>
      <c r="AD1637"/>
      <c r="AM1637"/>
      <c r="AO1637"/>
    </row>
    <row r="1638" spans="13:41">
      <c r="M1638"/>
      <c r="R1638"/>
      <c r="V1638"/>
      <c r="Y1638"/>
      <c r="AD1638"/>
      <c r="AM1638"/>
      <c r="AO1638"/>
    </row>
    <row r="1639" spans="13:41">
      <c r="M1639"/>
      <c r="R1639"/>
      <c r="V1639"/>
      <c r="Y1639"/>
      <c r="AD1639"/>
      <c r="AM1639"/>
      <c r="AO1639"/>
    </row>
    <row r="1640" spans="13:41">
      <c r="M1640"/>
      <c r="R1640"/>
      <c r="V1640"/>
      <c r="Y1640"/>
      <c r="AD1640"/>
      <c r="AM1640"/>
      <c r="AO1640"/>
    </row>
    <row r="1641" spans="13:41">
      <c r="M1641"/>
      <c r="R1641"/>
      <c r="V1641"/>
      <c r="Y1641"/>
      <c r="AD1641"/>
      <c r="AM1641"/>
      <c r="AO1641"/>
    </row>
    <row r="1642" spans="13:41">
      <c r="M1642"/>
      <c r="R1642"/>
      <c r="V1642"/>
      <c r="Y1642"/>
      <c r="AD1642"/>
      <c r="AM1642"/>
      <c r="AO1642"/>
    </row>
    <row r="1643" spans="13:41">
      <c r="M1643"/>
      <c r="R1643"/>
      <c r="V1643"/>
      <c r="Y1643"/>
      <c r="AD1643"/>
      <c r="AM1643"/>
      <c r="AO1643"/>
    </row>
    <row r="1644" spans="13:41">
      <c r="M1644"/>
      <c r="R1644"/>
      <c r="V1644"/>
      <c r="Y1644"/>
      <c r="AD1644"/>
      <c r="AM1644"/>
      <c r="AO1644"/>
    </row>
    <row r="1645" spans="13:41">
      <c r="M1645"/>
      <c r="R1645"/>
      <c r="V1645"/>
      <c r="Y1645"/>
      <c r="AD1645"/>
      <c r="AM1645"/>
      <c r="AO1645"/>
    </row>
    <row r="1646" spans="13:41">
      <c r="M1646"/>
      <c r="R1646"/>
      <c r="V1646"/>
      <c r="Y1646"/>
      <c r="AD1646"/>
      <c r="AM1646"/>
      <c r="AO1646"/>
    </row>
    <row r="1647" spans="13:41">
      <c r="M1647"/>
      <c r="R1647"/>
      <c r="V1647"/>
      <c r="Y1647"/>
      <c r="AD1647"/>
      <c r="AM1647"/>
      <c r="AO1647"/>
    </row>
    <row r="1648" spans="13:41">
      <c r="M1648"/>
      <c r="R1648"/>
      <c r="V1648"/>
      <c r="Y1648"/>
      <c r="AD1648"/>
      <c r="AM1648"/>
      <c r="AO1648"/>
    </row>
    <row r="1649" spans="13:41">
      <c r="M1649"/>
      <c r="R1649"/>
      <c r="V1649"/>
      <c r="Y1649"/>
      <c r="AD1649"/>
      <c r="AM1649"/>
      <c r="AO1649"/>
    </row>
    <row r="1650" spans="13:41">
      <c r="M1650"/>
      <c r="R1650"/>
      <c r="V1650"/>
      <c r="Y1650"/>
      <c r="AD1650"/>
      <c r="AM1650"/>
      <c r="AO1650"/>
    </row>
    <row r="1651" spans="13:41">
      <c r="M1651"/>
      <c r="R1651"/>
      <c r="V1651"/>
      <c r="Y1651"/>
      <c r="AD1651"/>
      <c r="AM1651"/>
      <c r="AO1651"/>
    </row>
    <row r="1652" spans="13:41">
      <c r="M1652"/>
      <c r="R1652"/>
      <c r="V1652"/>
      <c r="Y1652"/>
      <c r="AD1652"/>
      <c r="AM1652"/>
      <c r="AO1652"/>
    </row>
    <row r="1653" spans="13:41">
      <c r="M1653"/>
      <c r="R1653"/>
      <c r="V1653"/>
      <c r="Y1653"/>
      <c r="AD1653"/>
      <c r="AM1653"/>
      <c r="AO1653"/>
    </row>
    <row r="1654" spans="13:41">
      <c r="M1654"/>
      <c r="R1654"/>
      <c r="V1654"/>
      <c r="Y1654"/>
      <c r="AD1654"/>
      <c r="AM1654"/>
      <c r="AO1654"/>
    </row>
    <row r="1655" spans="13:41">
      <c r="M1655"/>
      <c r="R1655"/>
      <c r="V1655"/>
      <c r="Y1655"/>
      <c r="AD1655"/>
      <c r="AM1655"/>
      <c r="AO1655"/>
    </row>
    <row r="1656" spans="13:41">
      <c r="M1656"/>
      <c r="R1656"/>
      <c r="V1656"/>
      <c r="Y1656"/>
      <c r="AD1656"/>
      <c r="AM1656"/>
      <c r="AO1656"/>
    </row>
    <row r="1657" spans="13:41">
      <c r="M1657"/>
      <c r="R1657"/>
      <c r="V1657"/>
      <c r="Y1657"/>
      <c r="AD1657"/>
      <c r="AM1657"/>
      <c r="AO1657"/>
    </row>
    <row r="1658" spans="13:41">
      <c r="M1658"/>
      <c r="R1658"/>
      <c r="V1658"/>
      <c r="Y1658"/>
      <c r="AD1658"/>
      <c r="AM1658"/>
      <c r="AO1658"/>
    </row>
    <row r="1659" spans="13:41">
      <c r="M1659"/>
      <c r="R1659"/>
      <c r="V1659"/>
      <c r="Y1659"/>
      <c r="AD1659"/>
      <c r="AM1659"/>
      <c r="AO1659"/>
    </row>
    <row r="1660" spans="13:41">
      <c r="M1660"/>
      <c r="R1660"/>
      <c r="V1660"/>
      <c r="Y1660"/>
      <c r="AD1660"/>
      <c r="AM1660"/>
      <c r="AO1660"/>
    </row>
    <row r="1661" spans="13:41">
      <c r="M1661"/>
      <c r="R1661"/>
      <c r="V1661"/>
      <c r="Y1661"/>
      <c r="AD1661"/>
      <c r="AM1661"/>
      <c r="AO1661"/>
    </row>
    <row r="1662" spans="13:41">
      <c r="M1662"/>
      <c r="R1662"/>
      <c r="V1662"/>
      <c r="Y1662"/>
      <c r="AD1662"/>
      <c r="AM1662"/>
      <c r="AO1662"/>
    </row>
    <row r="1663" spans="13:41">
      <c r="M1663"/>
      <c r="R1663"/>
      <c r="V1663"/>
      <c r="Y1663"/>
      <c r="AD1663"/>
      <c r="AM1663"/>
      <c r="AO1663"/>
    </row>
    <row r="1664" spans="13:41">
      <c r="M1664"/>
      <c r="R1664"/>
      <c r="V1664"/>
      <c r="Y1664"/>
      <c r="AD1664"/>
      <c r="AM1664"/>
      <c r="AO1664"/>
    </row>
    <row r="1665" spans="13:41">
      <c r="M1665"/>
      <c r="R1665"/>
      <c r="V1665"/>
      <c r="Y1665"/>
      <c r="AD1665"/>
      <c r="AM1665"/>
      <c r="AO1665"/>
    </row>
    <row r="1666" spans="13:41">
      <c r="M1666"/>
      <c r="R1666"/>
      <c r="V1666"/>
      <c r="Y1666"/>
      <c r="AD1666"/>
      <c r="AM1666"/>
      <c r="AO1666"/>
    </row>
    <row r="1667" spans="13:41">
      <c r="M1667"/>
      <c r="R1667"/>
      <c r="V1667"/>
      <c r="Y1667"/>
      <c r="AD1667"/>
      <c r="AM1667"/>
      <c r="AO1667"/>
    </row>
    <row r="1668" spans="13:41">
      <c r="M1668"/>
      <c r="R1668"/>
      <c r="V1668"/>
      <c r="Y1668"/>
      <c r="AD1668"/>
      <c r="AM1668"/>
      <c r="AO1668"/>
    </row>
    <row r="1669" spans="13:41">
      <c r="M1669"/>
      <c r="R1669"/>
      <c r="V1669"/>
      <c r="Y1669"/>
      <c r="AD1669"/>
      <c r="AM1669"/>
      <c r="AO1669"/>
    </row>
    <row r="1670" spans="13:41">
      <c r="M1670"/>
      <c r="R1670"/>
      <c r="V1670"/>
      <c r="Y1670"/>
      <c r="AD1670"/>
      <c r="AM1670"/>
      <c r="AO1670"/>
    </row>
    <row r="1671" spans="13:41">
      <c r="M1671"/>
      <c r="R1671"/>
      <c r="V1671"/>
      <c r="Y1671"/>
      <c r="AD1671"/>
      <c r="AM1671"/>
      <c r="AO1671"/>
    </row>
    <row r="1672" spans="13:41">
      <c r="M1672"/>
      <c r="R1672"/>
      <c r="V1672"/>
      <c r="Y1672"/>
      <c r="AD1672"/>
      <c r="AM1672"/>
      <c r="AO1672"/>
    </row>
    <row r="1673" spans="13:41">
      <c r="M1673"/>
      <c r="R1673"/>
      <c r="V1673"/>
      <c r="Y1673"/>
      <c r="AD1673"/>
      <c r="AM1673"/>
      <c r="AO1673"/>
    </row>
    <row r="1674" spans="13:41">
      <c r="M1674"/>
      <c r="R1674"/>
      <c r="V1674"/>
      <c r="Y1674"/>
      <c r="AD1674"/>
      <c r="AM1674"/>
      <c r="AO1674"/>
    </row>
    <row r="1675" spans="13:41">
      <c r="M1675"/>
      <c r="R1675"/>
      <c r="V1675"/>
      <c r="Y1675"/>
      <c r="AD1675"/>
      <c r="AM1675"/>
      <c r="AO1675"/>
    </row>
    <row r="1676" spans="13:41">
      <c r="M1676"/>
      <c r="R1676"/>
      <c r="V1676"/>
      <c r="Y1676"/>
      <c r="AD1676"/>
      <c r="AM1676"/>
      <c r="AO1676"/>
    </row>
    <row r="1677" spans="13:41">
      <c r="M1677"/>
      <c r="R1677"/>
      <c r="V1677"/>
      <c r="Y1677"/>
      <c r="AD1677"/>
      <c r="AM1677"/>
      <c r="AO1677"/>
    </row>
    <row r="1678" spans="13:41">
      <c r="M1678"/>
      <c r="R1678"/>
      <c r="V1678"/>
      <c r="Y1678"/>
      <c r="AD1678"/>
      <c r="AM1678"/>
      <c r="AO1678"/>
    </row>
    <row r="1679" spans="13:41">
      <c r="M1679"/>
      <c r="R1679"/>
      <c r="V1679"/>
      <c r="Y1679"/>
      <c r="AD1679"/>
      <c r="AM1679"/>
      <c r="AO1679"/>
    </row>
    <row r="1680" spans="13:41">
      <c r="M1680"/>
      <c r="R1680"/>
      <c r="V1680"/>
      <c r="Y1680"/>
      <c r="AD1680"/>
      <c r="AM1680"/>
      <c r="AO1680"/>
    </row>
    <row r="1681" spans="13:41">
      <c r="M1681"/>
      <c r="R1681"/>
      <c r="V1681"/>
      <c r="Y1681"/>
      <c r="AD1681"/>
      <c r="AM1681"/>
      <c r="AO1681"/>
    </row>
    <row r="1682" spans="13:41">
      <c r="M1682"/>
      <c r="R1682"/>
      <c r="V1682"/>
      <c r="Y1682"/>
      <c r="AD1682"/>
      <c r="AM1682"/>
      <c r="AO1682"/>
    </row>
    <row r="1683" spans="13:41">
      <c r="M1683"/>
      <c r="R1683"/>
      <c r="V1683"/>
      <c r="Y1683"/>
      <c r="AD1683"/>
      <c r="AM1683"/>
      <c r="AO1683"/>
    </row>
    <row r="1684" spans="13:41">
      <c r="M1684"/>
      <c r="R1684"/>
      <c r="V1684"/>
      <c r="Y1684"/>
      <c r="AD1684"/>
      <c r="AM1684"/>
      <c r="AO1684"/>
    </row>
    <row r="1685" spans="13:41">
      <c r="M1685"/>
      <c r="R1685"/>
      <c r="V1685"/>
      <c r="Y1685"/>
      <c r="AD1685"/>
      <c r="AM1685"/>
      <c r="AO1685"/>
    </row>
    <row r="1686" spans="13:41">
      <c r="M1686"/>
      <c r="R1686"/>
      <c r="V1686"/>
      <c r="Y1686"/>
      <c r="AD1686"/>
      <c r="AM1686"/>
      <c r="AO1686"/>
    </row>
    <row r="1687" spans="13:41">
      <c r="M1687"/>
      <c r="R1687"/>
      <c r="V1687"/>
      <c r="Y1687"/>
      <c r="AD1687"/>
      <c r="AM1687"/>
      <c r="AO1687"/>
    </row>
    <row r="1688" spans="13:41">
      <c r="M1688"/>
      <c r="R1688"/>
      <c r="V1688"/>
      <c r="Y1688"/>
      <c r="AD1688"/>
      <c r="AM1688"/>
      <c r="AO1688"/>
    </row>
    <row r="1689" spans="13:41">
      <c r="M1689"/>
      <c r="R1689"/>
      <c r="V1689"/>
      <c r="Y1689"/>
      <c r="AD1689"/>
      <c r="AM1689"/>
      <c r="AO1689"/>
    </row>
    <row r="1690" spans="13:41">
      <c r="M1690"/>
      <c r="R1690"/>
      <c r="V1690"/>
      <c r="Y1690"/>
      <c r="AD1690"/>
      <c r="AM1690"/>
      <c r="AO1690"/>
    </row>
    <row r="1691" spans="13:41">
      <c r="M1691"/>
      <c r="R1691"/>
      <c r="V1691"/>
      <c r="Y1691"/>
      <c r="AD1691"/>
      <c r="AM1691"/>
      <c r="AO1691"/>
    </row>
    <row r="1692" spans="13:41">
      <c r="M1692"/>
      <c r="R1692"/>
      <c r="V1692"/>
      <c r="Y1692"/>
      <c r="AD1692"/>
      <c r="AM1692"/>
      <c r="AO1692"/>
    </row>
    <row r="1693" spans="13:41">
      <c r="M1693"/>
      <c r="R1693"/>
      <c r="V1693"/>
      <c r="Y1693"/>
      <c r="AD1693"/>
      <c r="AM1693"/>
      <c r="AO1693"/>
    </row>
    <row r="1694" spans="13:41">
      <c r="M1694"/>
      <c r="R1694"/>
      <c r="V1694"/>
      <c r="Y1694"/>
      <c r="AD1694"/>
      <c r="AM1694"/>
      <c r="AO1694"/>
    </row>
    <row r="1695" spans="13:41">
      <c r="M1695"/>
      <c r="R1695"/>
      <c r="V1695"/>
      <c r="Y1695"/>
      <c r="AD1695"/>
      <c r="AM1695"/>
      <c r="AO1695"/>
    </row>
    <row r="1696" spans="13:41">
      <c r="M1696"/>
      <c r="R1696"/>
      <c r="V1696"/>
      <c r="Y1696"/>
      <c r="AD1696"/>
      <c r="AM1696"/>
      <c r="AO1696"/>
    </row>
    <row r="1697" spans="13:41">
      <c r="M1697"/>
      <c r="R1697"/>
      <c r="V1697"/>
      <c r="Y1697"/>
      <c r="AD1697"/>
      <c r="AM1697"/>
      <c r="AO1697"/>
    </row>
    <row r="1698" spans="13:41">
      <c r="M1698"/>
      <c r="R1698"/>
      <c r="V1698"/>
      <c r="Y1698"/>
      <c r="AD1698"/>
      <c r="AM1698"/>
      <c r="AO1698"/>
    </row>
    <row r="1699" spans="13:41">
      <c r="M1699"/>
      <c r="R1699"/>
      <c r="V1699"/>
      <c r="Y1699"/>
      <c r="AD1699"/>
      <c r="AM1699"/>
      <c r="AO1699"/>
    </row>
    <row r="1700" spans="13:41">
      <c r="M1700"/>
      <c r="R1700"/>
      <c r="V1700"/>
      <c r="Y1700"/>
      <c r="AD1700"/>
      <c r="AM1700"/>
      <c r="AO1700"/>
    </row>
    <row r="1701" spans="13:41">
      <c r="M1701"/>
      <c r="R1701"/>
      <c r="V1701"/>
      <c r="Y1701"/>
      <c r="AD1701"/>
      <c r="AM1701"/>
      <c r="AO1701"/>
    </row>
    <row r="1702" spans="13:41">
      <c r="M1702"/>
      <c r="R1702"/>
      <c r="V1702"/>
      <c r="Y1702"/>
      <c r="AD1702"/>
      <c r="AM1702"/>
      <c r="AO1702"/>
    </row>
    <row r="1703" spans="13:41">
      <c r="M1703"/>
      <c r="R1703"/>
      <c r="V1703"/>
      <c r="Y1703"/>
      <c r="AD1703"/>
      <c r="AM1703"/>
      <c r="AO1703"/>
    </row>
    <row r="1704" spans="13:41">
      <c r="M1704"/>
      <c r="R1704"/>
      <c r="V1704"/>
      <c r="Y1704"/>
      <c r="AD1704"/>
      <c r="AM1704"/>
      <c r="AO1704"/>
    </row>
    <row r="1705" spans="13:41">
      <c r="M1705"/>
      <c r="R1705"/>
      <c r="V1705"/>
      <c r="Y1705"/>
      <c r="AD1705"/>
      <c r="AM1705"/>
      <c r="AO1705"/>
    </row>
    <row r="1706" spans="13:41">
      <c r="M1706"/>
      <c r="R1706"/>
      <c r="V1706"/>
      <c r="Y1706"/>
      <c r="AD1706"/>
      <c r="AM1706"/>
      <c r="AO1706"/>
    </row>
    <row r="1707" spans="13:41">
      <c r="M1707"/>
      <c r="R1707"/>
      <c r="V1707"/>
      <c r="Y1707"/>
      <c r="AD1707"/>
      <c r="AM1707"/>
      <c r="AO1707"/>
    </row>
    <row r="1708" spans="13:41">
      <c r="M1708"/>
      <c r="R1708"/>
      <c r="V1708"/>
      <c r="Y1708"/>
      <c r="AD1708"/>
      <c r="AM1708"/>
      <c r="AO1708"/>
    </row>
    <row r="1709" spans="13:41">
      <c r="M1709"/>
      <c r="R1709"/>
      <c r="V1709"/>
      <c r="Y1709"/>
      <c r="AD1709"/>
      <c r="AM1709"/>
      <c r="AO1709"/>
    </row>
    <row r="1710" spans="13:41">
      <c r="M1710"/>
      <c r="R1710"/>
      <c r="V1710"/>
      <c r="Y1710"/>
      <c r="AD1710"/>
      <c r="AM1710"/>
      <c r="AO1710"/>
    </row>
    <row r="1711" spans="13:41">
      <c r="M1711"/>
      <c r="R1711"/>
      <c r="V1711"/>
      <c r="Y1711"/>
      <c r="AD1711"/>
      <c r="AM1711"/>
      <c r="AO1711"/>
    </row>
    <row r="1712" spans="13:41">
      <c r="M1712"/>
      <c r="R1712"/>
      <c r="V1712"/>
      <c r="Y1712"/>
      <c r="AD1712"/>
      <c r="AM1712"/>
      <c r="AO1712"/>
    </row>
    <row r="1713" spans="13:41">
      <c r="M1713"/>
      <c r="R1713"/>
      <c r="V1713"/>
      <c r="Y1713"/>
      <c r="AD1713"/>
      <c r="AM1713"/>
      <c r="AO1713"/>
    </row>
    <row r="1714" spans="13:41">
      <c r="M1714"/>
      <c r="R1714"/>
      <c r="V1714"/>
      <c r="Y1714"/>
      <c r="AD1714"/>
      <c r="AM1714"/>
      <c r="AO1714"/>
    </row>
    <row r="1715" spans="13:41">
      <c r="M1715"/>
      <c r="R1715"/>
      <c r="V1715"/>
      <c r="Y1715"/>
      <c r="AD1715"/>
      <c r="AM1715"/>
      <c r="AO1715"/>
    </row>
    <row r="1716" spans="13:41">
      <c r="M1716"/>
      <c r="R1716"/>
      <c r="V1716"/>
      <c r="Y1716"/>
      <c r="AD1716"/>
      <c r="AM1716"/>
      <c r="AO1716"/>
    </row>
    <row r="1717" spans="13:41">
      <c r="M1717"/>
      <c r="R1717"/>
      <c r="V1717"/>
      <c r="Y1717"/>
      <c r="AD1717"/>
      <c r="AM1717"/>
      <c r="AO1717"/>
    </row>
    <row r="1718" spans="13:41">
      <c r="M1718"/>
      <c r="R1718"/>
      <c r="V1718"/>
      <c r="Y1718"/>
      <c r="AD1718"/>
      <c r="AM1718"/>
      <c r="AO1718"/>
    </row>
    <row r="1719" spans="13:41">
      <c r="M1719"/>
      <c r="R1719"/>
      <c r="V1719"/>
      <c r="Y1719"/>
      <c r="AD1719"/>
      <c r="AM1719"/>
      <c r="AO1719"/>
    </row>
    <row r="1720" spans="13:41">
      <c r="M1720"/>
      <c r="R1720"/>
      <c r="V1720"/>
      <c r="Y1720"/>
      <c r="AD1720"/>
      <c r="AM1720"/>
      <c r="AO1720"/>
    </row>
    <row r="1721" spans="13:41">
      <c r="M1721"/>
      <c r="R1721"/>
      <c r="V1721"/>
      <c r="Y1721"/>
      <c r="AD1721"/>
      <c r="AM1721"/>
      <c r="AO1721"/>
    </row>
    <row r="1722" spans="13:41">
      <c r="M1722"/>
      <c r="R1722"/>
      <c r="V1722"/>
      <c r="Y1722"/>
      <c r="AD1722"/>
      <c r="AM1722"/>
      <c r="AO1722"/>
    </row>
    <row r="1723" spans="13:41">
      <c r="M1723"/>
      <c r="R1723"/>
      <c r="V1723"/>
      <c r="Y1723"/>
      <c r="AD1723"/>
      <c r="AM1723"/>
      <c r="AO1723"/>
    </row>
    <row r="1724" spans="13:41">
      <c r="M1724"/>
      <c r="R1724"/>
      <c r="V1724"/>
      <c r="Y1724"/>
      <c r="AD1724"/>
      <c r="AM1724"/>
      <c r="AO1724"/>
    </row>
    <row r="1725" spans="13:41">
      <c r="M1725"/>
      <c r="R1725"/>
      <c r="V1725"/>
      <c r="Y1725"/>
      <c r="AD1725"/>
      <c r="AM1725"/>
      <c r="AO1725"/>
    </row>
    <row r="1726" spans="13:41">
      <c r="M1726"/>
      <c r="R1726"/>
      <c r="V1726"/>
      <c r="Y1726"/>
      <c r="AD1726"/>
      <c r="AM1726"/>
      <c r="AO1726"/>
    </row>
    <row r="1727" spans="13:41">
      <c r="M1727"/>
      <c r="R1727"/>
      <c r="V1727"/>
      <c r="Y1727"/>
      <c r="AD1727"/>
      <c r="AM1727"/>
      <c r="AO1727"/>
    </row>
    <row r="1728" spans="13:41">
      <c r="M1728"/>
      <c r="R1728"/>
      <c r="V1728"/>
      <c r="Y1728"/>
      <c r="AD1728"/>
      <c r="AM1728"/>
      <c r="AO1728"/>
    </row>
    <row r="1729" spans="13:41">
      <c r="M1729"/>
      <c r="R1729"/>
      <c r="V1729"/>
      <c r="Y1729"/>
      <c r="AD1729"/>
      <c r="AM1729"/>
      <c r="AO1729"/>
    </row>
    <row r="1730" spans="13:41">
      <c r="M1730"/>
      <c r="R1730"/>
      <c r="V1730"/>
      <c r="Y1730"/>
      <c r="AD1730"/>
      <c r="AM1730"/>
      <c r="AO1730"/>
    </row>
    <row r="1731" spans="13:41">
      <c r="M1731"/>
      <c r="R1731"/>
      <c r="V1731"/>
      <c r="Y1731"/>
      <c r="AD1731"/>
      <c r="AM1731"/>
      <c r="AO1731"/>
    </row>
    <row r="1732" spans="13:41">
      <c r="M1732"/>
      <c r="R1732"/>
      <c r="V1732"/>
      <c r="Y1732"/>
      <c r="AD1732"/>
      <c r="AM1732"/>
      <c r="AO1732"/>
    </row>
    <row r="1733" spans="13:41">
      <c r="M1733"/>
      <c r="R1733"/>
      <c r="V1733"/>
      <c r="Y1733"/>
      <c r="AD1733"/>
      <c r="AM1733"/>
      <c r="AO1733"/>
    </row>
    <row r="1734" spans="13:41">
      <c r="M1734"/>
      <c r="R1734"/>
      <c r="V1734"/>
      <c r="Y1734"/>
      <c r="AD1734"/>
      <c r="AM1734"/>
      <c r="AO1734"/>
    </row>
    <row r="1735" spans="13:41">
      <c r="M1735"/>
      <c r="R1735"/>
      <c r="V1735"/>
      <c r="Y1735"/>
      <c r="AD1735"/>
      <c r="AM1735"/>
      <c r="AO1735"/>
    </row>
    <row r="1736" spans="13:41">
      <c r="M1736"/>
      <c r="R1736"/>
      <c r="V1736"/>
      <c r="Y1736"/>
      <c r="AD1736"/>
      <c r="AM1736"/>
      <c r="AO1736"/>
    </row>
    <row r="1737" spans="13:41">
      <c r="M1737"/>
      <c r="R1737"/>
      <c r="V1737"/>
      <c r="Y1737"/>
      <c r="AD1737"/>
      <c r="AM1737"/>
      <c r="AO1737"/>
    </row>
    <row r="1738" spans="13:41">
      <c r="M1738"/>
      <c r="R1738"/>
      <c r="V1738"/>
      <c r="Y1738"/>
      <c r="AD1738"/>
      <c r="AM1738"/>
      <c r="AO1738"/>
    </row>
    <row r="1739" spans="13:41">
      <c r="M1739"/>
      <c r="R1739"/>
      <c r="V1739"/>
      <c r="Y1739"/>
      <c r="AD1739"/>
      <c r="AM1739"/>
      <c r="AO1739"/>
    </row>
    <row r="1740" spans="13:41">
      <c r="M1740"/>
      <c r="R1740"/>
      <c r="V1740"/>
      <c r="Y1740"/>
      <c r="AD1740"/>
      <c r="AM1740"/>
      <c r="AO1740"/>
    </row>
    <row r="1741" spans="13:41">
      <c r="M1741"/>
      <c r="R1741"/>
      <c r="V1741"/>
      <c r="Y1741"/>
      <c r="AD1741"/>
      <c r="AM1741"/>
      <c r="AO1741"/>
    </row>
    <row r="1742" spans="13:41">
      <c r="M1742"/>
      <c r="R1742"/>
      <c r="V1742"/>
      <c r="Y1742"/>
      <c r="AD1742"/>
      <c r="AM1742"/>
      <c r="AO1742"/>
    </row>
    <row r="1743" spans="13:41">
      <c r="M1743"/>
      <c r="R1743"/>
      <c r="V1743"/>
      <c r="Y1743"/>
      <c r="AD1743"/>
      <c r="AM1743"/>
      <c r="AO1743"/>
    </row>
    <row r="1744" spans="13:41">
      <c r="M1744"/>
      <c r="R1744"/>
      <c r="V1744"/>
      <c r="Y1744"/>
      <c r="AD1744"/>
      <c r="AM1744"/>
      <c r="AO1744"/>
    </row>
    <row r="1745" spans="13:41">
      <c r="M1745"/>
      <c r="R1745"/>
      <c r="V1745"/>
      <c r="Y1745"/>
      <c r="AD1745"/>
      <c r="AM1745"/>
      <c r="AO1745"/>
    </row>
    <row r="1746" spans="13:41">
      <c r="M1746"/>
      <c r="R1746"/>
      <c r="V1746"/>
      <c r="Y1746"/>
      <c r="AD1746"/>
      <c r="AM1746"/>
      <c r="AO1746"/>
    </row>
    <row r="1747" spans="13:41">
      <c r="M1747"/>
      <c r="R1747"/>
      <c r="V1747"/>
      <c r="Y1747"/>
      <c r="AD1747"/>
      <c r="AM1747"/>
      <c r="AO1747"/>
    </row>
    <row r="1748" spans="13:41">
      <c r="M1748"/>
      <c r="R1748"/>
      <c r="V1748"/>
      <c r="Y1748"/>
      <c r="AD1748"/>
      <c r="AM1748"/>
      <c r="AO1748"/>
    </row>
    <row r="1749" spans="13:41">
      <c r="M1749"/>
      <c r="R1749"/>
      <c r="V1749"/>
      <c r="Y1749"/>
      <c r="AD1749"/>
      <c r="AM1749"/>
      <c r="AO1749"/>
    </row>
    <row r="1750" spans="13:41">
      <c r="M1750"/>
      <c r="R1750"/>
      <c r="V1750"/>
      <c r="Y1750"/>
      <c r="AD1750"/>
      <c r="AM1750"/>
      <c r="AO1750"/>
    </row>
    <row r="1751" spans="13:41">
      <c r="M1751"/>
      <c r="R1751"/>
      <c r="V1751"/>
      <c r="Y1751"/>
      <c r="AD1751"/>
      <c r="AM1751"/>
      <c r="AO1751"/>
    </row>
    <row r="1752" spans="13:41">
      <c r="M1752"/>
      <c r="R1752"/>
      <c r="V1752"/>
      <c r="Y1752"/>
      <c r="AD1752"/>
      <c r="AM1752"/>
      <c r="AO1752"/>
    </row>
    <row r="1753" spans="13:41">
      <c r="M1753"/>
      <c r="R1753"/>
      <c r="V1753"/>
      <c r="Y1753"/>
      <c r="AD1753"/>
      <c r="AM1753"/>
      <c r="AO1753"/>
    </row>
    <row r="1754" spans="13:41">
      <c r="M1754"/>
      <c r="R1754"/>
      <c r="V1754"/>
      <c r="Y1754"/>
      <c r="AD1754"/>
      <c r="AM1754"/>
      <c r="AO1754"/>
    </row>
    <row r="1755" spans="13:41">
      <c r="M1755"/>
      <c r="R1755"/>
      <c r="V1755"/>
      <c r="Y1755"/>
      <c r="AD1755"/>
      <c r="AM1755"/>
      <c r="AO1755"/>
    </row>
    <row r="1756" spans="13:41">
      <c r="M1756"/>
      <c r="R1756"/>
      <c r="V1756"/>
      <c r="Y1756"/>
      <c r="AD1756"/>
      <c r="AM1756"/>
      <c r="AO1756"/>
    </row>
    <row r="1757" spans="13:41">
      <c r="M1757"/>
      <c r="R1757"/>
      <c r="V1757"/>
      <c r="Y1757"/>
      <c r="AD1757"/>
      <c r="AM1757"/>
      <c r="AO1757"/>
    </row>
    <row r="1758" spans="13:41">
      <c r="M1758"/>
      <c r="R1758"/>
      <c r="V1758"/>
      <c r="Y1758"/>
      <c r="AD1758"/>
      <c r="AM1758"/>
      <c r="AO1758"/>
    </row>
    <row r="1759" spans="13:41">
      <c r="M1759"/>
      <c r="R1759"/>
      <c r="V1759"/>
      <c r="Y1759"/>
      <c r="AD1759"/>
      <c r="AM1759"/>
      <c r="AO1759"/>
    </row>
    <row r="1760" spans="13:41">
      <c r="M1760"/>
      <c r="R1760"/>
      <c r="V1760"/>
      <c r="Y1760"/>
      <c r="AD1760"/>
      <c r="AM1760"/>
      <c r="AO1760"/>
    </row>
    <row r="1761" spans="13:41">
      <c r="M1761"/>
      <c r="R1761"/>
      <c r="V1761"/>
      <c r="Y1761"/>
      <c r="AD1761"/>
      <c r="AM1761"/>
      <c r="AO1761"/>
    </row>
    <row r="1762" spans="13:41">
      <c r="M1762"/>
      <c r="R1762"/>
      <c r="V1762"/>
      <c r="Y1762"/>
      <c r="AD1762"/>
      <c r="AM1762"/>
      <c r="AO1762"/>
    </row>
    <row r="1763" spans="13:41">
      <c r="M1763"/>
      <c r="R1763"/>
      <c r="V1763"/>
      <c r="Y1763"/>
      <c r="AD1763"/>
      <c r="AM1763"/>
      <c r="AO1763"/>
    </row>
    <row r="1764" spans="13:41">
      <c r="M1764"/>
      <c r="R1764"/>
      <c r="V1764"/>
      <c r="Y1764"/>
      <c r="AD1764"/>
      <c r="AM1764"/>
      <c r="AO1764"/>
    </row>
    <row r="1765" spans="13:41">
      <c r="M1765"/>
      <c r="R1765"/>
      <c r="V1765"/>
      <c r="Y1765"/>
      <c r="AD1765"/>
      <c r="AM1765"/>
      <c r="AO1765"/>
    </row>
    <row r="1766" spans="13:41">
      <c r="M1766"/>
      <c r="R1766"/>
      <c r="V1766"/>
      <c r="Y1766"/>
      <c r="AD1766"/>
      <c r="AM1766"/>
      <c r="AO1766"/>
    </row>
    <row r="1767" spans="13:41">
      <c r="M1767"/>
      <c r="R1767"/>
      <c r="V1767"/>
      <c r="Y1767"/>
      <c r="AD1767"/>
      <c r="AM1767"/>
      <c r="AO1767"/>
    </row>
    <row r="1768" spans="13:41">
      <c r="M1768"/>
      <c r="R1768"/>
      <c r="V1768"/>
      <c r="Y1768"/>
      <c r="AD1768"/>
      <c r="AM1768"/>
      <c r="AO1768"/>
    </row>
    <row r="1769" spans="13:41">
      <c r="M1769"/>
      <c r="R1769"/>
      <c r="V1769"/>
      <c r="Y1769"/>
      <c r="AD1769"/>
      <c r="AM1769"/>
      <c r="AO1769"/>
    </row>
    <row r="1770" spans="13:41">
      <c r="M1770"/>
      <c r="R1770"/>
      <c r="V1770"/>
      <c r="Y1770"/>
      <c r="AD1770"/>
      <c r="AM1770"/>
      <c r="AO1770"/>
    </row>
    <row r="1771" spans="13:41">
      <c r="M1771"/>
      <c r="R1771"/>
      <c r="V1771"/>
      <c r="Y1771"/>
      <c r="AD1771"/>
      <c r="AM1771"/>
      <c r="AO1771"/>
    </row>
    <row r="1772" spans="13:41">
      <c r="M1772"/>
      <c r="R1772"/>
      <c r="V1772"/>
      <c r="Y1772"/>
      <c r="AD1772"/>
      <c r="AM1772"/>
      <c r="AO1772"/>
    </row>
    <row r="1773" spans="13:41">
      <c r="M1773"/>
      <c r="R1773"/>
      <c r="V1773"/>
      <c r="Y1773"/>
      <c r="AD1773"/>
      <c r="AM1773"/>
      <c r="AO1773"/>
    </row>
    <row r="1774" spans="13:41">
      <c r="M1774"/>
      <c r="R1774"/>
      <c r="V1774"/>
      <c r="Y1774"/>
      <c r="AD1774"/>
      <c r="AM1774"/>
      <c r="AO1774"/>
    </row>
    <row r="1775" spans="13:41">
      <c r="M1775"/>
      <c r="R1775"/>
      <c r="V1775"/>
      <c r="Y1775"/>
      <c r="AD1775"/>
      <c r="AM1775"/>
      <c r="AO1775"/>
    </row>
    <row r="1776" spans="13:41">
      <c r="M1776"/>
      <c r="R1776"/>
      <c r="V1776"/>
      <c r="Y1776"/>
      <c r="AD1776"/>
      <c r="AM1776"/>
      <c r="AO1776"/>
    </row>
    <row r="1777" spans="13:41">
      <c r="M1777"/>
      <c r="R1777"/>
      <c r="V1777"/>
      <c r="Y1777"/>
      <c r="AD1777"/>
      <c r="AM1777"/>
      <c r="AO1777"/>
    </row>
    <row r="1778" spans="13:41">
      <c r="M1778"/>
      <c r="R1778"/>
      <c r="V1778"/>
      <c r="Y1778"/>
      <c r="AD1778"/>
      <c r="AM1778"/>
      <c r="AO1778"/>
    </row>
    <row r="1779" spans="13:41">
      <c r="M1779"/>
      <c r="R1779"/>
      <c r="V1779"/>
      <c r="Y1779"/>
      <c r="AD1779"/>
      <c r="AM1779"/>
      <c r="AO1779"/>
    </row>
    <row r="1780" spans="13:41">
      <c r="M1780"/>
      <c r="R1780"/>
      <c r="V1780"/>
      <c r="Y1780"/>
      <c r="AD1780"/>
      <c r="AM1780"/>
      <c r="AO1780"/>
    </row>
    <row r="1781" spans="13:41">
      <c r="M1781"/>
      <c r="R1781"/>
      <c r="V1781"/>
      <c r="Y1781"/>
      <c r="AD1781"/>
      <c r="AM1781"/>
      <c r="AO1781"/>
    </row>
    <row r="1782" spans="13:41">
      <c r="M1782"/>
      <c r="R1782"/>
      <c r="V1782"/>
      <c r="Y1782"/>
      <c r="AD1782"/>
      <c r="AM1782"/>
      <c r="AO1782"/>
    </row>
    <row r="1783" spans="13:41">
      <c r="M1783"/>
      <c r="R1783"/>
      <c r="V1783"/>
      <c r="Y1783"/>
      <c r="AD1783"/>
      <c r="AM1783"/>
      <c r="AO1783"/>
    </row>
    <row r="1784" spans="13:41">
      <c r="M1784"/>
      <c r="R1784"/>
      <c r="V1784"/>
      <c r="Y1784"/>
      <c r="AD1784"/>
      <c r="AM1784"/>
      <c r="AO1784"/>
    </row>
    <row r="1785" spans="13:41">
      <c r="M1785"/>
      <c r="R1785"/>
      <c r="V1785"/>
      <c r="Y1785"/>
      <c r="AD1785"/>
      <c r="AM1785"/>
      <c r="AO1785"/>
    </row>
    <row r="1786" spans="13:41">
      <c r="M1786"/>
      <c r="R1786"/>
      <c r="V1786"/>
      <c r="Y1786"/>
      <c r="AD1786"/>
      <c r="AM1786"/>
      <c r="AO1786"/>
    </row>
    <row r="1787" spans="13:41">
      <c r="M1787"/>
      <c r="R1787"/>
      <c r="V1787"/>
      <c r="Y1787"/>
      <c r="AD1787"/>
      <c r="AM1787"/>
      <c r="AO1787"/>
    </row>
    <row r="1788" spans="13:41">
      <c r="M1788"/>
      <c r="R1788"/>
      <c r="V1788"/>
      <c r="Y1788"/>
      <c r="AD1788"/>
      <c r="AM1788"/>
      <c r="AO1788"/>
    </row>
    <row r="1789" spans="13:41">
      <c r="M1789"/>
      <c r="R1789"/>
      <c r="V1789"/>
      <c r="Y1789"/>
      <c r="AD1789"/>
      <c r="AM1789"/>
      <c r="AO1789"/>
    </row>
    <row r="1790" spans="13:41">
      <c r="M1790"/>
      <c r="R1790"/>
      <c r="V1790"/>
      <c r="Y1790"/>
      <c r="AD1790"/>
      <c r="AM1790"/>
      <c r="AO1790"/>
    </row>
    <row r="1791" spans="13:41">
      <c r="M1791"/>
      <c r="R1791"/>
      <c r="V1791"/>
      <c r="Y1791"/>
      <c r="AD1791"/>
      <c r="AM1791"/>
      <c r="AO1791"/>
    </row>
    <row r="1792" spans="13:41">
      <c r="M1792"/>
      <c r="R1792"/>
      <c r="V1792"/>
      <c r="Y1792"/>
      <c r="AD1792"/>
      <c r="AM1792"/>
      <c r="AO1792"/>
    </row>
    <row r="1793" spans="13:41">
      <c r="M1793"/>
      <c r="R1793"/>
      <c r="V1793"/>
      <c r="Y1793"/>
      <c r="AD1793"/>
      <c r="AM1793"/>
      <c r="AO1793"/>
    </row>
    <row r="1794" spans="13:41">
      <c r="M1794"/>
      <c r="R1794"/>
      <c r="V1794"/>
      <c r="Y1794"/>
      <c r="AD1794"/>
      <c r="AM1794"/>
      <c r="AO1794"/>
    </row>
    <row r="1795" spans="13:41">
      <c r="M1795"/>
      <c r="R1795"/>
      <c r="V1795"/>
      <c r="Y1795"/>
      <c r="AD1795"/>
      <c r="AM1795"/>
      <c r="AO1795"/>
    </row>
    <row r="1796" spans="13:41">
      <c r="M1796"/>
      <c r="R1796"/>
      <c r="V1796"/>
      <c r="Y1796"/>
      <c r="AD1796"/>
      <c r="AM1796"/>
      <c r="AO1796"/>
    </row>
    <row r="1797" spans="13:41">
      <c r="M1797"/>
      <c r="R1797"/>
      <c r="V1797"/>
      <c r="Y1797"/>
      <c r="AD1797"/>
      <c r="AM1797"/>
      <c r="AO1797"/>
    </row>
    <row r="1798" spans="13:41">
      <c r="M1798"/>
      <c r="R1798"/>
      <c r="V1798"/>
      <c r="Y1798"/>
      <c r="AD1798"/>
      <c r="AM1798"/>
      <c r="AO1798"/>
    </row>
    <row r="1799" spans="13:41">
      <c r="M1799"/>
      <c r="R1799"/>
      <c r="V1799"/>
      <c r="Y1799"/>
      <c r="AD1799"/>
      <c r="AM1799"/>
      <c r="AO1799"/>
    </row>
    <row r="1800" spans="13:41">
      <c r="M1800"/>
      <c r="R1800"/>
      <c r="V1800"/>
      <c r="Y1800"/>
      <c r="AD1800"/>
      <c r="AM1800"/>
      <c r="AO1800"/>
    </row>
    <row r="1801" spans="13:41">
      <c r="M1801"/>
      <c r="R1801"/>
      <c r="V1801"/>
      <c r="Y1801"/>
      <c r="AD1801"/>
      <c r="AM1801"/>
      <c r="AO1801"/>
    </row>
    <row r="1802" spans="13:41">
      <c r="M1802"/>
      <c r="R1802"/>
      <c r="V1802"/>
      <c r="Y1802"/>
      <c r="AD1802"/>
      <c r="AM1802"/>
      <c r="AO1802"/>
    </row>
    <row r="1803" spans="13:41">
      <c r="M1803"/>
      <c r="R1803"/>
      <c r="V1803"/>
      <c r="Y1803"/>
      <c r="AD1803"/>
      <c r="AM1803"/>
      <c r="AO1803"/>
    </row>
    <row r="1804" spans="13:41">
      <c r="M1804"/>
      <c r="R1804"/>
      <c r="V1804"/>
      <c r="Y1804"/>
      <c r="AD1804"/>
      <c r="AM1804"/>
      <c r="AO1804"/>
    </row>
    <row r="1805" spans="13:41">
      <c r="M1805"/>
      <c r="R1805"/>
      <c r="V1805"/>
      <c r="Y1805"/>
      <c r="AD1805"/>
      <c r="AM1805"/>
      <c r="AO1805"/>
    </row>
    <row r="1806" spans="13:41">
      <c r="M1806"/>
      <c r="R1806"/>
      <c r="V1806"/>
      <c r="Y1806"/>
      <c r="AD1806"/>
      <c r="AM1806"/>
      <c r="AO1806"/>
    </row>
    <row r="1807" spans="13:41">
      <c r="M1807"/>
      <c r="R1807"/>
      <c r="V1807"/>
      <c r="Y1807"/>
      <c r="AD1807"/>
      <c r="AM1807"/>
      <c r="AO1807"/>
    </row>
    <row r="1808" spans="13:41">
      <c r="M1808"/>
      <c r="R1808"/>
      <c r="V1808"/>
      <c r="Y1808"/>
      <c r="AD1808"/>
      <c r="AM1808"/>
      <c r="AO1808"/>
    </row>
    <row r="1809" spans="13:41">
      <c r="M1809"/>
      <c r="R1809"/>
      <c r="V1809"/>
      <c r="Y1809"/>
      <c r="AD1809"/>
      <c r="AM1809"/>
      <c r="AO1809"/>
    </row>
    <row r="1810" spans="13:41">
      <c r="M1810"/>
      <c r="R1810"/>
      <c r="V1810"/>
      <c r="Y1810"/>
      <c r="AD1810"/>
      <c r="AM1810"/>
      <c r="AO1810"/>
    </row>
    <row r="1811" spans="13:41">
      <c r="M1811"/>
      <c r="R1811"/>
      <c r="V1811"/>
      <c r="Y1811"/>
      <c r="AD1811"/>
      <c r="AM1811"/>
      <c r="AO1811"/>
    </row>
    <row r="1812" spans="13:41">
      <c r="M1812"/>
      <c r="R1812"/>
      <c r="V1812"/>
      <c r="Y1812"/>
      <c r="AD1812"/>
      <c r="AM1812"/>
      <c r="AO1812"/>
    </row>
    <row r="1813" spans="13:41">
      <c r="M1813"/>
      <c r="R1813"/>
      <c r="V1813"/>
      <c r="Y1813"/>
      <c r="AD1813"/>
      <c r="AM1813"/>
      <c r="AO1813"/>
    </row>
    <row r="1814" spans="13:41">
      <c r="M1814"/>
      <c r="R1814"/>
      <c r="V1814"/>
      <c r="Y1814"/>
      <c r="AD1814"/>
      <c r="AM1814"/>
      <c r="AO1814"/>
    </row>
    <row r="1815" spans="13:41">
      <c r="M1815"/>
      <c r="R1815"/>
      <c r="V1815"/>
      <c r="Y1815"/>
      <c r="AD1815"/>
      <c r="AM1815"/>
      <c r="AO1815"/>
    </row>
    <row r="1816" spans="13:41">
      <c r="M1816"/>
      <c r="R1816"/>
      <c r="V1816"/>
      <c r="Y1816"/>
      <c r="AD1816"/>
      <c r="AM1816"/>
      <c r="AO1816"/>
    </row>
    <row r="1817" spans="13:41">
      <c r="M1817"/>
      <c r="R1817"/>
      <c r="V1817"/>
      <c r="Y1817"/>
      <c r="AD1817"/>
      <c r="AM1817"/>
      <c r="AO1817"/>
    </row>
    <row r="1818" spans="13:41">
      <c r="M1818"/>
      <c r="R1818"/>
      <c r="V1818"/>
      <c r="Y1818"/>
      <c r="AD1818"/>
      <c r="AM1818"/>
      <c r="AO1818"/>
    </row>
    <row r="1819" spans="13:41">
      <c r="M1819"/>
      <c r="R1819"/>
      <c r="V1819"/>
      <c r="Y1819"/>
      <c r="AD1819"/>
      <c r="AM1819"/>
      <c r="AO1819"/>
    </row>
    <row r="1820" spans="13:41">
      <c r="M1820"/>
      <c r="R1820"/>
      <c r="V1820"/>
      <c r="Y1820"/>
      <c r="AD1820"/>
      <c r="AM1820"/>
      <c r="AO1820"/>
    </row>
    <row r="1821" spans="13:41">
      <c r="M1821"/>
      <c r="R1821"/>
      <c r="V1821"/>
      <c r="Y1821"/>
      <c r="AD1821"/>
      <c r="AM1821"/>
      <c r="AO1821"/>
    </row>
    <row r="1822" spans="13:41">
      <c r="M1822"/>
      <c r="R1822"/>
      <c r="V1822"/>
      <c r="Y1822"/>
      <c r="AD1822"/>
      <c r="AM1822"/>
      <c r="AO1822"/>
    </row>
    <row r="1823" spans="13:41">
      <c r="M1823"/>
      <c r="R1823"/>
      <c r="V1823"/>
      <c r="Y1823"/>
      <c r="AD1823"/>
      <c r="AM1823"/>
      <c r="AO1823"/>
    </row>
    <row r="1824" spans="13:41">
      <c r="M1824"/>
      <c r="R1824"/>
      <c r="V1824"/>
      <c r="Y1824"/>
      <c r="AD1824"/>
      <c r="AM1824"/>
      <c r="AO1824"/>
    </row>
    <row r="1825" spans="13:41">
      <c r="M1825"/>
      <c r="R1825"/>
      <c r="V1825"/>
      <c r="Y1825"/>
      <c r="AD1825"/>
      <c r="AM1825"/>
      <c r="AO1825"/>
    </row>
    <row r="1826" spans="13:41">
      <c r="M1826"/>
      <c r="R1826"/>
      <c r="V1826"/>
      <c r="Y1826"/>
      <c r="AD1826"/>
      <c r="AM1826"/>
      <c r="AO1826"/>
    </row>
    <row r="1827" spans="13:41">
      <c r="M1827"/>
      <c r="R1827"/>
      <c r="V1827"/>
      <c r="Y1827"/>
      <c r="AD1827"/>
      <c r="AM1827"/>
      <c r="AO1827"/>
    </row>
    <row r="1828" spans="13:41">
      <c r="M1828"/>
      <c r="R1828"/>
      <c r="V1828"/>
      <c r="Y1828"/>
      <c r="AD1828"/>
      <c r="AM1828"/>
      <c r="AO1828"/>
    </row>
    <row r="1829" spans="13:41">
      <c r="M1829"/>
      <c r="R1829"/>
      <c r="V1829"/>
      <c r="Y1829"/>
      <c r="AD1829"/>
      <c r="AM1829"/>
      <c r="AO1829"/>
    </row>
    <row r="1830" spans="13:41">
      <c r="M1830"/>
      <c r="R1830"/>
      <c r="V1830"/>
      <c r="Y1830"/>
      <c r="AD1830"/>
      <c r="AM1830"/>
      <c r="AO1830"/>
    </row>
    <row r="1831" spans="13:41">
      <c r="M1831"/>
      <c r="R1831"/>
      <c r="V1831"/>
      <c r="Y1831"/>
      <c r="AD1831"/>
      <c r="AM1831"/>
      <c r="AO1831"/>
    </row>
    <row r="1832" spans="13:41">
      <c r="M1832"/>
      <c r="R1832"/>
      <c r="V1832"/>
      <c r="Y1832"/>
      <c r="AD1832"/>
      <c r="AM1832"/>
      <c r="AO1832"/>
    </row>
    <row r="1833" spans="13:41">
      <c r="M1833"/>
      <c r="R1833"/>
      <c r="V1833"/>
      <c r="Y1833"/>
      <c r="AD1833"/>
      <c r="AM1833"/>
      <c r="AO1833"/>
    </row>
    <row r="1834" spans="13:41">
      <c r="M1834"/>
      <c r="R1834"/>
      <c r="V1834"/>
      <c r="Y1834"/>
      <c r="AD1834"/>
      <c r="AM1834"/>
      <c r="AO1834"/>
    </row>
    <row r="1835" spans="13:41">
      <c r="M1835"/>
      <c r="R1835"/>
      <c r="V1835"/>
      <c r="Y1835"/>
      <c r="AD1835"/>
      <c r="AM1835"/>
      <c r="AO1835"/>
    </row>
    <row r="1836" spans="13:41">
      <c r="M1836"/>
      <c r="R1836"/>
      <c r="V1836"/>
      <c r="Y1836"/>
      <c r="AD1836"/>
      <c r="AM1836"/>
      <c r="AO1836"/>
    </row>
    <row r="1837" spans="13:41">
      <c r="M1837"/>
      <c r="R1837"/>
      <c r="V1837"/>
      <c r="Y1837"/>
      <c r="AD1837"/>
      <c r="AM1837"/>
      <c r="AO1837"/>
    </row>
    <row r="1838" spans="13:41">
      <c r="M1838"/>
      <c r="R1838"/>
      <c r="V1838"/>
      <c r="Y1838"/>
      <c r="AD1838"/>
      <c r="AM1838"/>
      <c r="AO1838"/>
    </row>
    <row r="1839" spans="13:41">
      <c r="M1839"/>
      <c r="R1839"/>
      <c r="V1839"/>
      <c r="Y1839"/>
      <c r="AD1839"/>
      <c r="AM1839"/>
      <c r="AO1839"/>
    </row>
    <row r="1840" spans="13:41">
      <c r="M1840"/>
      <c r="R1840"/>
      <c r="V1840"/>
      <c r="Y1840"/>
      <c r="AD1840"/>
      <c r="AM1840"/>
      <c r="AO1840"/>
    </row>
    <row r="1841" spans="13:41">
      <c r="M1841"/>
      <c r="R1841"/>
      <c r="V1841"/>
      <c r="Y1841"/>
      <c r="AD1841"/>
      <c r="AM1841"/>
      <c r="AO1841"/>
    </row>
    <row r="1842" spans="13:41">
      <c r="M1842"/>
      <c r="R1842"/>
      <c r="V1842"/>
      <c r="Y1842"/>
      <c r="AD1842"/>
      <c r="AM1842"/>
      <c r="AO1842"/>
    </row>
    <row r="1843" spans="13:41">
      <c r="M1843"/>
      <c r="R1843"/>
      <c r="V1843"/>
      <c r="Y1843"/>
      <c r="AD1843"/>
      <c r="AM1843"/>
      <c r="AO1843"/>
    </row>
    <row r="1844" spans="13:41">
      <c r="M1844"/>
      <c r="R1844"/>
      <c r="V1844"/>
      <c r="Y1844"/>
      <c r="AD1844"/>
      <c r="AM1844"/>
      <c r="AO1844"/>
    </row>
    <row r="1845" spans="13:41">
      <c r="M1845"/>
      <c r="R1845"/>
      <c r="V1845"/>
      <c r="Y1845"/>
      <c r="AD1845"/>
      <c r="AM1845"/>
      <c r="AO1845"/>
    </row>
    <row r="1846" spans="13:41">
      <c r="M1846"/>
      <c r="R1846"/>
      <c r="V1846"/>
      <c r="Y1846"/>
      <c r="AD1846"/>
      <c r="AM1846"/>
      <c r="AO1846"/>
    </row>
    <row r="1847" spans="13:41">
      <c r="M1847"/>
      <c r="R1847"/>
      <c r="V1847"/>
      <c r="Y1847"/>
      <c r="AD1847"/>
      <c r="AM1847"/>
      <c r="AO1847"/>
    </row>
    <row r="1848" spans="13:41">
      <c r="M1848"/>
      <c r="R1848"/>
      <c r="V1848"/>
      <c r="Y1848"/>
      <c r="AD1848"/>
      <c r="AM1848"/>
      <c r="AO1848"/>
    </row>
    <row r="1849" spans="13:41">
      <c r="M1849"/>
      <c r="R1849"/>
      <c r="V1849"/>
      <c r="Y1849"/>
      <c r="AD1849"/>
      <c r="AM1849"/>
      <c r="AO1849"/>
    </row>
    <row r="1850" spans="13:41">
      <c r="M1850"/>
      <c r="R1850"/>
      <c r="V1850"/>
      <c r="Y1850"/>
      <c r="AD1850"/>
      <c r="AM1850"/>
      <c r="AO1850"/>
    </row>
    <row r="1851" spans="13:41">
      <c r="M1851"/>
      <c r="R1851"/>
      <c r="V1851"/>
      <c r="Y1851"/>
      <c r="AD1851"/>
      <c r="AM1851"/>
      <c r="AO1851"/>
    </row>
    <row r="1852" spans="13:41">
      <c r="M1852"/>
      <c r="R1852"/>
      <c r="V1852"/>
      <c r="Y1852"/>
      <c r="AD1852"/>
      <c r="AM1852"/>
      <c r="AO1852"/>
    </row>
    <row r="1853" spans="13:41">
      <c r="M1853"/>
      <c r="R1853"/>
      <c r="V1853"/>
      <c r="Y1853"/>
      <c r="AD1853"/>
      <c r="AM1853"/>
      <c r="AO1853"/>
    </row>
    <row r="1854" spans="13:41">
      <c r="M1854"/>
      <c r="R1854"/>
      <c r="V1854"/>
      <c r="Y1854"/>
      <c r="AD1854"/>
      <c r="AM1854"/>
      <c r="AO1854"/>
    </row>
    <row r="1855" spans="13:41">
      <c r="M1855"/>
      <c r="R1855"/>
      <c r="V1855"/>
      <c r="Y1855"/>
      <c r="AD1855"/>
      <c r="AM1855"/>
      <c r="AO1855"/>
    </row>
    <row r="1856" spans="13:41">
      <c r="M1856"/>
      <c r="R1856"/>
      <c r="V1856"/>
      <c r="Y1856"/>
      <c r="AD1856"/>
      <c r="AM1856"/>
      <c r="AO1856"/>
    </row>
    <row r="1857" spans="13:41">
      <c r="M1857"/>
      <c r="R1857"/>
      <c r="V1857"/>
      <c r="Y1857"/>
      <c r="AD1857"/>
      <c r="AM1857"/>
      <c r="AO1857"/>
    </row>
    <row r="1858" spans="13:41">
      <c r="M1858"/>
      <c r="R1858"/>
      <c r="V1858"/>
      <c r="Y1858"/>
      <c r="AD1858"/>
      <c r="AM1858"/>
      <c r="AO1858"/>
    </row>
    <row r="1859" spans="13:41">
      <c r="M1859"/>
      <c r="R1859"/>
      <c r="V1859"/>
      <c r="Y1859"/>
      <c r="AD1859"/>
      <c r="AM1859"/>
      <c r="AO1859"/>
    </row>
    <row r="1860" spans="13:41">
      <c r="M1860"/>
      <c r="R1860"/>
      <c r="V1860"/>
      <c r="Y1860"/>
      <c r="AD1860"/>
      <c r="AM1860"/>
      <c r="AO1860"/>
    </row>
    <row r="1861" spans="13:41">
      <c r="M1861"/>
      <c r="R1861"/>
      <c r="V1861"/>
      <c r="Y1861"/>
      <c r="AD1861"/>
      <c r="AM1861"/>
      <c r="AO1861"/>
    </row>
    <row r="1862" spans="13:41">
      <c r="M1862"/>
      <c r="R1862"/>
      <c r="V1862"/>
      <c r="Y1862"/>
      <c r="AD1862"/>
      <c r="AM1862"/>
      <c r="AO1862"/>
    </row>
    <row r="1863" spans="13:41">
      <c r="M1863"/>
      <c r="R1863"/>
      <c r="V1863"/>
      <c r="Y1863"/>
      <c r="AD1863"/>
      <c r="AM1863"/>
      <c r="AO1863"/>
    </row>
    <row r="1864" spans="13:41">
      <c r="M1864"/>
      <c r="R1864"/>
      <c r="V1864"/>
      <c r="Y1864"/>
      <c r="AD1864"/>
      <c r="AM1864"/>
      <c r="AO1864"/>
    </row>
    <row r="1865" spans="13:41">
      <c r="M1865"/>
      <c r="R1865"/>
      <c r="V1865"/>
      <c r="Y1865"/>
      <c r="AD1865"/>
      <c r="AM1865"/>
      <c r="AO1865"/>
    </row>
    <row r="1866" spans="13:41">
      <c r="M1866"/>
      <c r="R1866"/>
      <c r="V1866"/>
      <c r="Y1866"/>
      <c r="AD1866"/>
      <c r="AM1866"/>
      <c r="AO1866"/>
    </row>
    <row r="1867" spans="13:41">
      <c r="M1867"/>
      <c r="R1867"/>
      <c r="V1867"/>
      <c r="Y1867"/>
      <c r="AD1867"/>
      <c r="AM1867"/>
      <c r="AO1867"/>
    </row>
    <row r="1868" spans="13:41">
      <c r="M1868"/>
      <c r="R1868"/>
      <c r="V1868"/>
      <c r="Y1868"/>
      <c r="AD1868"/>
      <c r="AM1868"/>
      <c r="AO1868"/>
    </row>
    <row r="1869" spans="13:41">
      <c r="M1869"/>
      <c r="R1869"/>
      <c r="V1869"/>
      <c r="Y1869"/>
      <c r="AD1869"/>
      <c r="AM1869"/>
      <c r="AO1869"/>
    </row>
    <row r="1870" spans="13:41">
      <c r="M1870"/>
      <c r="R1870"/>
      <c r="V1870"/>
      <c r="Y1870"/>
      <c r="AD1870"/>
      <c r="AM1870"/>
      <c r="AO1870"/>
    </row>
    <row r="1871" spans="13:41">
      <c r="M1871"/>
      <c r="R1871"/>
      <c r="V1871"/>
      <c r="Y1871"/>
      <c r="AD1871"/>
      <c r="AM1871"/>
      <c r="AO1871"/>
    </row>
    <row r="1872" spans="13:41">
      <c r="M1872"/>
      <c r="R1872"/>
      <c r="V1872"/>
      <c r="Y1872"/>
      <c r="AD1872"/>
      <c r="AM1872"/>
      <c r="AO1872"/>
    </row>
    <row r="1873" spans="13:41">
      <c r="M1873"/>
      <c r="R1873"/>
      <c r="V1873"/>
      <c r="Y1873"/>
      <c r="AD1873"/>
      <c r="AM1873"/>
      <c r="AO1873"/>
    </row>
    <row r="1874" spans="13:41">
      <c r="M1874"/>
      <c r="R1874"/>
      <c r="V1874"/>
      <c r="Y1874"/>
      <c r="AD1874"/>
      <c r="AM1874"/>
      <c r="AO1874"/>
    </row>
    <row r="1875" spans="13:41">
      <c r="M1875"/>
      <c r="R1875"/>
      <c r="V1875"/>
      <c r="Y1875"/>
      <c r="AD1875"/>
      <c r="AM1875"/>
      <c r="AO1875"/>
    </row>
    <row r="1876" spans="13:41">
      <c r="M1876"/>
      <c r="R1876"/>
      <c r="V1876"/>
      <c r="Y1876"/>
      <c r="AD1876"/>
      <c r="AM1876"/>
      <c r="AO1876"/>
    </row>
    <row r="1877" spans="13:41">
      <c r="M1877"/>
      <c r="R1877"/>
      <c r="V1877"/>
      <c r="Y1877"/>
      <c r="AD1877"/>
      <c r="AM1877"/>
      <c r="AO1877"/>
    </row>
    <row r="1878" spans="13:41">
      <c r="M1878"/>
      <c r="R1878"/>
      <c r="V1878"/>
      <c r="Y1878"/>
      <c r="AD1878"/>
      <c r="AM1878"/>
      <c r="AO1878"/>
    </row>
    <row r="1879" spans="13:41">
      <c r="M1879"/>
      <c r="R1879"/>
      <c r="V1879"/>
      <c r="Y1879"/>
      <c r="AD1879"/>
      <c r="AM1879"/>
      <c r="AO1879"/>
    </row>
    <row r="1880" spans="13:41">
      <c r="M1880"/>
      <c r="R1880"/>
      <c r="V1880"/>
      <c r="Y1880"/>
      <c r="AD1880"/>
      <c r="AM1880"/>
      <c r="AO1880"/>
    </row>
    <row r="1881" spans="13:41">
      <c r="M1881"/>
      <c r="R1881"/>
      <c r="V1881"/>
      <c r="Y1881"/>
      <c r="AD1881"/>
      <c r="AM1881"/>
      <c r="AO1881"/>
    </row>
    <row r="1882" spans="13:41">
      <c r="M1882"/>
      <c r="R1882"/>
      <c r="V1882"/>
      <c r="Y1882"/>
      <c r="AD1882"/>
      <c r="AM1882"/>
      <c r="AO1882"/>
    </row>
    <row r="1883" spans="13:41">
      <c r="M1883"/>
      <c r="R1883"/>
      <c r="V1883"/>
      <c r="Y1883"/>
      <c r="AD1883"/>
      <c r="AM1883"/>
      <c r="AO1883"/>
    </row>
    <row r="1884" spans="13:41">
      <c r="M1884"/>
      <c r="R1884"/>
      <c r="V1884"/>
      <c r="Y1884"/>
      <c r="AD1884"/>
      <c r="AM1884"/>
      <c r="AO1884"/>
    </row>
    <row r="1885" spans="13:41">
      <c r="M1885"/>
      <c r="R1885"/>
      <c r="V1885"/>
      <c r="Y1885"/>
      <c r="AD1885"/>
      <c r="AM1885"/>
      <c r="AO1885"/>
    </row>
    <row r="1886" spans="13:41">
      <c r="M1886"/>
      <c r="R1886"/>
      <c r="V1886"/>
      <c r="Y1886"/>
      <c r="AD1886"/>
      <c r="AM1886"/>
      <c r="AO1886"/>
    </row>
    <row r="1887" spans="13:41">
      <c r="M1887"/>
      <c r="R1887"/>
      <c r="V1887"/>
      <c r="Y1887"/>
      <c r="AD1887"/>
      <c r="AM1887"/>
      <c r="AO1887"/>
    </row>
    <row r="1888" spans="13:41">
      <c r="M1888"/>
      <c r="R1888"/>
      <c r="V1888"/>
      <c r="Y1888"/>
      <c r="AD1888"/>
      <c r="AM1888"/>
      <c r="AO1888"/>
    </row>
    <row r="1889" spans="13:41">
      <c r="M1889"/>
      <c r="R1889"/>
      <c r="V1889"/>
      <c r="Y1889"/>
      <c r="AD1889"/>
      <c r="AM1889"/>
      <c r="AO1889"/>
    </row>
    <row r="1890" spans="13:41">
      <c r="M1890"/>
      <c r="R1890"/>
      <c r="V1890"/>
      <c r="Y1890"/>
      <c r="AD1890"/>
      <c r="AM1890"/>
      <c r="AO1890"/>
    </row>
    <row r="1891" spans="13:41">
      <c r="M1891"/>
      <c r="R1891"/>
      <c r="V1891"/>
      <c r="Y1891"/>
      <c r="AD1891"/>
      <c r="AM1891"/>
      <c r="AO1891"/>
    </row>
    <row r="1892" spans="13:41">
      <c r="M1892"/>
      <c r="R1892"/>
      <c r="V1892"/>
      <c r="Y1892"/>
      <c r="AD1892"/>
      <c r="AM1892"/>
      <c r="AO1892"/>
    </row>
    <row r="1893" spans="13:41">
      <c r="M1893"/>
      <c r="R1893"/>
      <c r="V1893"/>
      <c r="Y1893"/>
      <c r="AD1893"/>
      <c r="AM1893"/>
      <c r="AO1893"/>
    </row>
    <row r="1894" spans="13:41">
      <c r="M1894"/>
      <c r="R1894"/>
      <c r="V1894"/>
      <c r="Y1894"/>
      <c r="AD1894"/>
      <c r="AM1894"/>
      <c r="AO1894"/>
    </row>
    <row r="1895" spans="13:41">
      <c r="M1895"/>
      <c r="R1895"/>
      <c r="V1895"/>
      <c r="Y1895"/>
      <c r="AD1895"/>
      <c r="AM1895"/>
      <c r="AO1895"/>
    </row>
    <row r="1896" spans="13:41">
      <c r="M1896"/>
      <c r="R1896"/>
      <c r="V1896"/>
      <c r="Y1896"/>
      <c r="AD1896"/>
      <c r="AM1896"/>
      <c r="AO1896"/>
    </row>
    <row r="1897" spans="13:41">
      <c r="M1897"/>
      <c r="R1897"/>
      <c r="V1897"/>
      <c r="Y1897"/>
      <c r="AD1897"/>
      <c r="AM1897"/>
      <c r="AO1897"/>
    </row>
    <row r="1898" spans="13:41">
      <c r="M1898"/>
      <c r="R1898"/>
      <c r="V1898"/>
      <c r="Y1898"/>
      <c r="AD1898"/>
      <c r="AM1898"/>
      <c r="AO1898"/>
    </row>
    <row r="1899" spans="13:41">
      <c r="M1899"/>
      <c r="R1899"/>
      <c r="V1899"/>
      <c r="Y1899"/>
      <c r="AD1899"/>
      <c r="AM1899"/>
      <c r="AO1899"/>
    </row>
    <row r="1900" spans="13:41">
      <c r="M1900"/>
      <c r="R1900"/>
      <c r="V1900"/>
      <c r="Y1900"/>
      <c r="AD1900"/>
      <c r="AM1900"/>
      <c r="AO1900"/>
    </row>
    <row r="1901" spans="13:41">
      <c r="M1901"/>
      <c r="R1901"/>
      <c r="V1901"/>
      <c r="Y1901"/>
      <c r="AD1901"/>
      <c r="AM1901"/>
      <c r="AO1901"/>
    </row>
    <row r="1902" spans="13:41">
      <c r="M1902"/>
      <c r="R1902"/>
      <c r="V1902"/>
      <c r="Y1902"/>
      <c r="AD1902"/>
      <c r="AM1902"/>
      <c r="AO1902"/>
    </row>
    <row r="1903" spans="13:41">
      <c r="M1903"/>
      <c r="R1903"/>
      <c r="V1903"/>
      <c r="Y1903"/>
      <c r="AD1903"/>
      <c r="AM1903"/>
      <c r="AO1903"/>
    </row>
    <row r="1904" spans="13:41">
      <c r="M1904"/>
      <c r="R1904"/>
      <c r="V1904"/>
      <c r="Y1904"/>
      <c r="AD1904"/>
      <c r="AM1904"/>
      <c r="AO1904"/>
    </row>
    <row r="1905" spans="13:41">
      <c r="M1905"/>
      <c r="R1905"/>
      <c r="V1905"/>
      <c r="Y1905"/>
      <c r="AD1905"/>
      <c r="AM1905"/>
      <c r="AO1905"/>
    </row>
    <row r="1906" spans="13:41">
      <c r="M1906"/>
      <c r="R1906"/>
      <c r="V1906"/>
      <c r="Y1906"/>
      <c r="AD1906"/>
      <c r="AM1906"/>
      <c r="AO1906"/>
    </row>
    <row r="1907" spans="13:41">
      <c r="M1907"/>
      <c r="R1907"/>
      <c r="V1907"/>
      <c r="Y1907"/>
      <c r="AD1907"/>
      <c r="AM1907"/>
      <c r="AO1907"/>
    </row>
    <row r="1908" spans="13:41">
      <c r="M1908"/>
      <c r="R1908"/>
      <c r="V1908"/>
      <c r="Y1908"/>
      <c r="AD1908"/>
      <c r="AM1908"/>
      <c r="AO1908"/>
    </row>
    <row r="1909" spans="13:41">
      <c r="M1909"/>
      <c r="R1909"/>
      <c r="V1909"/>
      <c r="Y1909"/>
      <c r="AD1909"/>
      <c r="AM1909"/>
      <c r="AO1909"/>
    </row>
    <row r="1910" spans="13:41">
      <c r="M1910"/>
      <c r="R1910"/>
      <c r="V1910"/>
      <c r="Y1910"/>
      <c r="AD1910"/>
      <c r="AM1910"/>
      <c r="AO1910"/>
    </row>
    <row r="1911" spans="13:41">
      <c r="M1911"/>
      <c r="R1911"/>
      <c r="V1911"/>
      <c r="Y1911"/>
      <c r="AD1911"/>
      <c r="AM1911"/>
      <c r="AO1911"/>
    </row>
    <row r="1912" spans="13:41">
      <c r="M1912"/>
      <c r="R1912"/>
      <c r="V1912"/>
      <c r="Y1912"/>
      <c r="AD1912"/>
      <c r="AM1912"/>
      <c r="AO1912"/>
    </row>
    <row r="1913" spans="13:41">
      <c r="M1913"/>
      <c r="R1913"/>
      <c r="V1913"/>
      <c r="Y1913"/>
      <c r="AD1913"/>
      <c r="AM1913"/>
      <c r="AO1913"/>
    </row>
    <row r="1914" spans="13:41">
      <c r="M1914"/>
      <c r="R1914"/>
      <c r="V1914"/>
      <c r="Y1914"/>
      <c r="AD1914"/>
      <c r="AM1914"/>
      <c r="AO1914"/>
    </row>
    <row r="1915" spans="13:41">
      <c r="M1915"/>
      <c r="R1915"/>
      <c r="V1915"/>
      <c r="Y1915"/>
      <c r="AD1915"/>
      <c r="AM1915"/>
      <c r="AO1915"/>
    </row>
    <row r="1916" spans="13:41">
      <c r="M1916"/>
      <c r="R1916"/>
      <c r="V1916"/>
      <c r="Y1916"/>
      <c r="AD1916"/>
      <c r="AM1916"/>
      <c r="AO1916"/>
    </row>
    <row r="1917" spans="13:41">
      <c r="M1917"/>
      <c r="R1917"/>
      <c r="V1917"/>
      <c r="Y1917"/>
      <c r="AD1917"/>
      <c r="AM1917"/>
      <c r="AO1917"/>
    </row>
    <row r="1918" spans="13:41">
      <c r="M1918"/>
      <c r="R1918"/>
      <c r="V1918"/>
      <c r="Y1918"/>
      <c r="AD1918"/>
      <c r="AM1918"/>
      <c r="AO1918"/>
    </row>
    <row r="1919" spans="13:41">
      <c r="M1919"/>
      <c r="R1919"/>
      <c r="V1919"/>
      <c r="Y1919"/>
      <c r="AD1919"/>
      <c r="AM1919"/>
      <c r="AO1919"/>
    </row>
    <row r="1920" spans="13:41">
      <c r="M1920"/>
      <c r="R1920"/>
      <c r="V1920"/>
      <c r="Y1920"/>
      <c r="AD1920"/>
      <c r="AM1920"/>
      <c r="AO1920"/>
    </row>
    <row r="1921" spans="13:41">
      <c r="M1921"/>
      <c r="R1921"/>
      <c r="V1921"/>
      <c r="Y1921"/>
      <c r="AD1921"/>
      <c r="AM1921"/>
      <c r="AO1921"/>
    </row>
    <row r="1922" spans="13:41">
      <c r="M1922"/>
      <c r="R1922"/>
      <c r="V1922"/>
      <c r="Y1922"/>
      <c r="AD1922"/>
      <c r="AM1922"/>
      <c r="AO1922"/>
    </row>
    <row r="1923" spans="13:41">
      <c r="M1923"/>
      <c r="R1923"/>
      <c r="V1923"/>
      <c r="Y1923"/>
      <c r="AD1923"/>
      <c r="AM1923"/>
      <c r="AO1923"/>
    </row>
    <row r="1924" spans="13:41">
      <c r="M1924"/>
      <c r="R1924"/>
      <c r="V1924"/>
      <c r="Y1924"/>
      <c r="AD1924"/>
      <c r="AM1924"/>
      <c r="AO1924"/>
    </row>
    <row r="1925" spans="13:41">
      <c r="M1925"/>
      <c r="R1925"/>
      <c r="V1925"/>
      <c r="Y1925"/>
      <c r="AD1925"/>
      <c r="AM1925"/>
      <c r="AO1925"/>
    </row>
    <row r="1926" spans="13:41">
      <c r="M1926"/>
      <c r="R1926"/>
      <c r="V1926"/>
      <c r="Y1926"/>
      <c r="AD1926"/>
      <c r="AM1926"/>
      <c r="AO1926"/>
    </row>
    <row r="1927" spans="13:41">
      <c r="M1927"/>
      <c r="R1927"/>
      <c r="V1927"/>
      <c r="Y1927"/>
      <c r="AD1927"/>
      <c r="AM1927"/>
      <c r="AO1927"/>
    </row>
    <row r="1928" spans="13:41">
      <c r="M1928"/>
      <c r="R1928"/>
      <c r="V1928"/>
      <c r="Y1928"/>
      <c r="AD1928"/>
      <c r="AM1928"/>
      <c r="AO1928"/>
    </row>
    <row r="1929" spans="13:41">
      <c r="M1929"/>
      <c r="R1929"/>
      <c r="V1929"/>
      <c r="Y1929"/>
      <c r="AD1929"/>
      <c r="AM1929"/>
      <c r="AO1929"/>
    </row>
    <row r="1930" spans="13:41">
      <c r="M1930"/>
      <c r="R1930"/>
      <c r="V1930"/>
      <c r="Y1930"/>
      <c r="AD1930"/>
      <c r="AM1930"/>
      <c r="AO1930"/>
    </row>
    <row r="1931" spans="13:41">
      <c r="M1931"/>
      <c r="R1931"/>
      <c r="V1931"/>
      <c r="Y1931"/>
      <c r="AD1931"/>
      <c r="AM1931"/>
      <c r="AO1931"/>
    </row>
    <row r="1932" spans="13:41">
      <c r="M1932"/>
      <c r="R1932"/>
      <c r="V1932"/>
      <c r="Y1932"/>
      <c r="AD1932"/>
      <c r="AM1932"/>
      <c r="AO1932"/>
    </row>
    <row r="1933" spans="13:41">
      <c r="M1933"/>
      <c r="R1933"/>
      <c r="V1933"/>
      <c r="Y1933"/>
      <c r="AD1933"/>
      <c r="AM1933"/>
      <c r="AO1933"/>
    </row>
    <row r="1934" spans="13:41">
      <c r="M1934"/>
      <c r="R1934"/>
      <c r="V1934"/>
      <c r="Y1934"/>
      <c r="AD1934"/>
      <c r="AM1934"/>
      <c r="AO1934"/>
    </row>
    <row r="1935" spans="13:41">
      <c r="M1935"/>
      <c r="R1935"/>
      <c r="V1935"/>
      <c r="Y1935"/>
      <c r="AD1935"/>
      <c r="AM1935"/>
      <c r="AO1935"/>
    </row>
    <row r="1936" spans="13:41">
      <c r="M1936"/>
      <c r="R1936"/>
      <c r="V1936"/>
      <c r="Y1936"/>
      <c r="AD1936"/>
      <c r="AM1936"/>
      <c r="AO1936"/>
    </row>
    <row r="1937" spans="13:41">
      <c r="M1937"/>
      <c r="R1937"/>
      <c r="V1937"/>
      <c r="Y1937"/>
      <c r="AD1937"/>
      <c r="AM1937"/>
      <c r="AO1937"/>
    </row>
    <row r="1938" spans="13:41">
      <c r="M1938"/>
      <c r="R1938"/>
      <c r="V1938"/>
      <c r="Y1938"/>
      <c r="AD1938"/>
      <c r="AM1938"/>
      <c r="AO1938"/>
    </row>
    <row r="1939" spans="13:41">
      <c r="M1939"/>
      <c r="R1939"/>
      <c r="V1939"/>
      <c r="Y1939"/>
      <c r="AD1939"/>
      <c r="AM1939"/>
      <c r="AO1939"/>
    </row>
    <row r="1940" spans="13:41">
      <c r="M1940"/>
      <c r="R1940"/>
      <c r="V1940"/>
      <c r="Y1940"/>
      <c r="AD1940"/>
      <c r="AM1940"/>
      <c r="AO1940"/>
    </row>
    <row r="1941" spans="13:41">
      <c r="M1941"/>
      <c r="R1941"/>
      <c r="V1941"/>
      <c r="Y1941"/>
      <c r="AD1941"/>
      <c r="AM1941"/>
      <c r="AO1941"/>
    </row>
    <row r="1942" spans="13:41">
      <c r="M1942"/>
      <c r="R1942"/>
      <c r="V1942"/>
      <c r="Y1942"/>
      <c r="AD1942"/>
      <c r="AM1942"/>
      <c r="AO1942"/>
    </row>
    <row r="1943" spans="13:41">
      <c r="M1943"/>
      <c r="R1943"/>
      <c r="V1943"/>
      <c r="Y1943"/>
      <c r="AD1943"/>
      <c r="AM1943"/>
      <c r="AO1943"/>
    </row>
    <row r="1944" spans="13:41">
      <c r="M1944"/>
      <c r="R1944"/>
      <c r="V1944"/>
      <c r="Y1944"/>
      <c r="AD1944"/>
      <c r="AM1944"/>
      <c r="AO1944"/>
    </row>
    <row r="1945" spans="13:41">
      <c r="M1945"/>
      <c r="R1945"/>
      <c r="V1945"/>
      <c r="Y1945"/>
      <c r="AD1945"/>
      <c r="AM1945"/>
      <c r="AO1945"/>
    </row>
    <row r="1946" spans="13:41">
      <c r="M1946"/>
      <c r="R1946"/>
      <c r="V1946"/>
      <c r="Y1946"/>
      <c r="AD1946"/>
      <c r="AM1946"/>
      <c r="AO1946"/>
    </row>
    <row r="1947" spans="13:41">
      <c r="M1947"/>
      <c r="R1947"/>
      <c r="V1947"/>
      <c r="Y1947"/>
      <c r="AD1947"/>
      <c r="AM1947"/>
      <c r="AO1947"/>
    </row>
    <row r="1948" spans="13:41">
      <c r="M1948"/>
      <c r="R1948"/>
      <c r="V1948"/>
      <c r="Y1948"/>
      <c r="AD1948"/>
      <c r="AM1948"/>
      <c r="AO1948"/>
    </row>
    <row r="1949" spans="13:41">
      <c r="M1949"/>
      <c r="R1949"/>
      <c r="V1949"/>
      <c r="Y1949"/>
      <c r="AD1949"/>
      <c r="AM1949"/>
      <c r="AO1949"/>
    </row>
    <row r="1950" spans="13:41">
      <c r="M1950"/>
      <c r="R1950"/>
      <c r="V1950"/>
      <c r="Y1950"/>
      <c r="AD1950"/>
      <c r="AM1950"/>
      <c r="AO1950"/>
    </row>
    <row r="1951" spans="13:41">
      <c r="M1951"/>
      <c r="R1951"/>
      <c r="V1951"/>
      <c r="Y1951"/>
      <c r="AD1951"/>
      <c r="AM1951"/>
      <c r="AO1951"/>
    </row>
    <row r="1952" spans="13:41">
      <c r="M1952"/>
      <c r="R1952"/>
      <c r="V1952"/>
      <c r="Y1952"/>
      <c r="AD1952"/>
      <c r="AM1952"/>
      <c r="AO1952"/>
    </row>
    <row r="1953" spans="13:41">
      <c r="M1953"/>
      <c r="R1953"/>
      <c r="V1953"/>
      <c r="Y1953"/>
      <c r="AD1953"/>
      <c r="AM1953"/>
      <c r="AO1953"/>
    </row>
    <row r="1954" spans="13:41">
      <c r="M1954"/>
      <c r="R1954"/>
      <c r="V1954"/>
      <c r="Y1954"/>
      <c r="AD1954"/>
      <c r="AM1954"/>
      <c r="AO1954"/>
    </row>
    <row r="1955" spans="13:41">
      <c r="M1955"/>
      <c r="R1955"/>
      <c r="V1955"/>
      <c r="Y1955"/>
      <c r="AD1955"/>
      <c r="AM1955"/>
      <c r="AO1955"/>
    </row>
    <row r="1956" spans="13:41">
      <c r="M1956"/>
      <c r="R1956"/>
      <c r="V1956"/>
      <c r="Y1956"/>
      <c r="AD1956"/>
      <c r="AM1956"/>
      <c r="AO1956"/>
    </row>
    <row r="1957" spans="13:41">
      <c r="M1957"/>
      <c r="R1957"/>
      <c r="V1957"/>
      <c r="Y1957"/>
      <c r="AD1957"/>
      <c r="AM1957"/>
      <c r="AO1957"/>
    </row>
    <row r="1958" spans="13:41">
      <c r="M1958"/>
      <c r="R1958"/>
      <c r="V1958"/>
      <c r="Y1958"/>
      <c r="AD1958"/>
      <c r="AM1958"/>
      <c r="AO1958"/>
    </row>
    <row r="1959" spans="13:41">
      <c r="M1959"/>
      <c r="R1959"/>
      <c r="V1959"/>
      <c r="Y1959"/>
      <c r="AD1959"/>
      <c r="AM1959"/>
      <c r="AO1959"/>
    </row>
    <row r="1960" spans="13:41">
      <c r="M1960"/>
      <c r="R1960"/>
      <c r="V1960"/>
      <c r="Y1960"/>
      <c r="AD1960"/>
      <c r="AM1960"/>
      <c r="AO1960"/>
    </row>
    <row r="1961" spans="13:41">
      <c r="M1961"/>
      <c r="R1961"/>
      <c r="V1961"/>
      <c r="Y1961"/>
      <c r="AD1961"/>
      <c r="AM1961"/>
      <c r="AO1961"/>
    </row>
    <row r="1962" spans="13:41">
      <c r="M1962"/>
      <c r="R1962"/>
      <c r="V1962"/>
      <c r="Y1962"/>
      <c r="AD1962"/>
      <c r="AM1962"/>
      <c r="AO1962"/>
    </row>
    <row r="1963" spans="13:41">
      <c r="M1963"/>
      <c r="R1963"/>
      <c r="V1963"/>
      <c r="Y1963"/>
      <c r="AD1963"/>
      <c r="AM1963"/>
      <c r="AO1963"/>
    </row>
    <row r="1964" spans="13:41">
      <c r="M1964"/>
      <c r="R1964"/>
      <c r="V1964"/>
      <c r="Y1964"/>
      <c r="AD1964"/>
      <c r="AM1964"/>
      <c r="AO1964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XEY2:XEY8987">
    <sortCondition ref="XEY2:XEY8987"/>
  </sortState>
  <dataValidations count="1">
    <dataValidation type="list" allowBlank="1" showInputMessage="1" showErrorMessage="1" sqref="XEX130:XEX175" xr:uid="{00000000-0002-0000-0100-000000000000}">
      <formula1>$XEN$1033792:$XEN$1033997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6687F-94F6-4B7C-B995-DD7948257678}">
  <dimension ref="B1:U25"/>
  <sheetViews>
    <sheetView zoomScale="70" zoomScaleNormal="70" workbookViewId="0">
      <selection activeCell="F8" sqref="F8"/>
    </sheetView>
  </sheetViews>
  <sheetFormatPr defaultRowHeight="15"/>
  <cols>
    <col min="2" max="2" width="14.5703125" bestFit="1" customWidth="1"/>
    <col min="10" max="10" width="12.28515625" customWidth="1"/>
  </cols>
  <sheetData>
    <row r="1" spans="2:21">
      <c r="B1" s="28" t="s">
        <v>367</v>
      </c>
      <c r="J1" s="28" t="s">
        <v>369</v>
      </c>
    </row>
    <row r="2" spans="2:21">
      <c r="B2" t="s">
        <v>1</v>
      </c>
      <c r="C2" s="26" t="s">
        <v>365</v>
      </c>
      <c r="D2" s="26" t="s">
        <v>193</v>
      </c>
      <c r="E2" s="26" t="s">
        <v>198</v>
      </c>
      <c r="F2" s="26" t="s">
        <v>195</v>
      </c>
      <c r="G2" s="26" t="s">
        <v>194</v>
      </c>
      <c r="H2" s="26" t="s">
        <v>196</v>
      </c>
      <c r="I2" s="26" t="s">
        <v>366</v>
      </c>
      <c r="J2" s="26" t="s">
        <v>208</v>
      </c>
      <c r="K2" s="26" t="s">
        <v>193</v>
      </c>
      <c r="L2" s="26" t="s">
        <v>198</v>
      </c>
      <c r="M2" s="26" t="s">
        <v>195</v>
      </c>
      <c r="N2" s="26" t="s">
        <v>194</v>
      </c>
      <c r="O2" s="26" t="s">
        <v>196</v>
      </c>
      <c r="P2" t="s">
        <v>263</v>
      </c>
      <c r="Q2" t="s">
        <v>264</v>
      </c>
      <c r="S2" t="s">
        <v>368</v>
      </c>
    </row>
    <row r="3" spans="2:21">
      <c r="B3" t="s">
        <v>76</v>
      </c>
      <c r="I3">
        <f>SUM(C3:H3)</f>
        <v>0</v>
      </c>
      <c r="J3" t="e">
        <f>SUMIFS('MAIN DATABASE'!#REF!,'MAIN DATABASE'!$F:$F,Summary!$B3,'MAIN DATABASE'!$J:$J,Summary!J$2)</f>
        <v>#REF!</v>
      </c>
      <c r="K3" t="e">
        <f>SUMIFS('MAIN DATABASE'!#REF!,'MAIN DATABASE'!$F:$F,Summary!$B3,'MAIN DATABASE'!$J:$J,Summary!K$2)</f>
        <v>#REF!</v>
      </c>
      <c r="L3" t="e">
        <f>SUMIFS('MAIN DATABASE'!#REF!,'MAIN DATABASE'!$F:$F,Summary!$B3,'MAIN DATABASE'!$J:$J,Summary!L$2)</f>
        <v>#REF!</v>
      </c>
      <c r="M3" t="e">
        <f>SUMIFS('MAIN DATABASE'!#REF!,'MAIN DATABASE'!$F:$F,Summary!$B3,'MAIN DATABASE'!$J:$J,Summary!M$2)</f>
        <v>#REF!</v>
      </c>
      <c r="N3" t="e">
        <f>SUMIFS('MAIN DATABASE'!#REF!,'MAIN DATABASE'!$F:$F,Summary!$B3,'MAIN DATABASE'!$J:$J,Summary!N$2)</f>
        <v>#REF!</v>
      </c>
      <c r="O3" t="e">
        <f>SUMIFS('MAIN DATABASE'!#REF!,'MAIN DATABASE'!$F:$F,Summary!$B3,'MAIN DATABASE'!$J:$J,Summary!O$2)</f>
        <v>#REF!</v>
      </c>
      <c r="P3" t="e">
        <f>SUMIFS('MAIN DATABASE'!#REF!,'MAIN DATABASE'!$F:$F,Summary!$B3,'MAIN DATABASE'!$J:$J,Summary!P$2)</f>
        <v>#REF!</v>
      </c>
      <c r="Q3" t="e">
        <f>SUMIFS('MAIN DATABASE'!#REF!,'MAIN DATABASE'!$F:$F,Summary!$B3,'MAIN DATABASE'!$J:$J,Summary!Q$2)</f>
        <v>#REF!</v>
      </c>
      <c r="R3" t="e">
        <f>SUM(J3:O3)</f>
        <v>#REF!</v>
      </c>
      <c r="S3" t="e">
        <f>P3+Q3</f>
        <v>#REF!</v>
      </c>
      <c r="T3" t="e">
        <f>R3+S3</f>
        <v>#REF!</v>
      </c>
      <c r="U3" t="e">
        <f>I3-R3</f>
        <v>#REF!</v>
      </c>
    </row>
    <row r="4" spans="2:21">
      <c r="B4" t="s">
        <v>75</v>
      </c>
      <c r="I4">
        <f t="shared" ref="I4:I25" si="0">SUM(C4:H4)</f>
        <v>0</v>
      </c>
      <c r="J4" t="e">
        <f>SUMIFS('MAIN DATABASE'!#REF!,'MAIN DATABASE'!$F:$F,Summary!$B4,'MAIN DATABASE'!$J:$J,Summary!J$2)</f>
        <v>#REF!</v>
      </c>
      <c r="K4" t="e">
        <f>SUMIFS('MAIN DATABASE'!#REF!,'MAIN DATABASE'!$F:$F,Summary!$B4,'MAIN DATABASE'!$J:$J,Summary!K$2)</f>
        <v>#REF!</v>
      </c>
      <c r="L4" t="e">
        <f>SUMIFS('MAIN DATABASE'!#REF!,'MAIN DATABASE'!$F:$F,Summary!$B4,'MAIN DATABASE'!$J:$J,Summary!L$2)</f>
        <v>#REF!</v>
      </c>
      <c r="M4" t="e">
        <f>SUMIFS('MAIN DATABASE'!#REF!,'MAIN DATABASE'!$F:$F,Summary!$B4,'MAIN DATABASE'!$J:$J,Summary!M$2)</f>
        <v>#REF!</v>
      </c>
      <c r="N4" t="e">
        <f>SUMIFS('MAIN DATABASE'!#REF!,'MAIN DATABASE'!$F:$F,Summary!$B4,'MAIN DATABASE'!$J:$J,Summary!N$2)</f>
        <v>#REF!</v>
      </c>
      <c r="O4" t="e">
        <f>SUMIFS('MAIN DATABASE'!#REF!,'MAIN DATABASE'!$F:$F,Summary!$B4,'MAIN DATABASE'!$J:$J,Summary!O$2)</f>
        <v>#REF!</v>
      </c>
      <c r="P4" t="e">
        <f>SUMIFS('MAIN DATABASE'!#REF!,'MAIN DATABASE'!$F:$F,Summary!$B4,'MAIN DATABASE'!$J:$J,Summary!P$2)</f>
        <v>#REF!</v>
      </c>
      <c r="Q4" t="e">
        <f>SUMIFS('MAIN DATABASE'!#REF!,'MAIN DATABASE'!$F:$F,Summary!$B4,'MAIN DATABASE'!$J:$J,Summary!Q$2)</f>
        <v>#REF!</v>
      </c>
      <c r="R4" t="e">
        <f t="shared" ref="R4:R25" si="1">SUM(J4:O4)</f>
        <v>#REF!</v>
      </c>
      <c r="S4" t="e">
        <f t="shared" ref="S4:S25" si="2">P4+Q4</f>
        <v>#REF!</v>
      </c>
      <c r="T4" t="e">
        <f t="shared" ref="T4:T25" si="3">R4+S4</f>
        <v>#REF!</v>
      </c>
      <c r="U4" t="e">
        <f t="shared" ref="U4:U25" si="4">I4-R4</f>
        <v>#REF!</v>
      </c>
    </row>
    <row r="5" spans="2:21">
      <c r="B5" t="s">
        <v>162</v>
      </c>
      <c r="I5">
        <f t="shared" si="0"/>
        <v>0</v>
      </c>
      <c r="J5" t="e">
        <f>SUMIFS('MAIN DATABASE'!#REF!,'MAIN DATABASE'!$F:$F,Summary!$B5,'MAIN DATABASE'!$J:$J,Summary!J$2)</f>
        <v>#REF!</v>
      </c>
      <c r="K5" t="e">
        <f>SUMIFS('MAIN DATABASE'!#REF!,'MAIN DATABASE'!$F:$F,Summary!$B5,'MAIN DATABASE'!$J:$J,Summary!K$2)</f>
        <v>#REF!</v>
      </c>
      <c r="L5" t="e">
        <f>SUMIFS('MAIN DATABASE'!#REF!,'MAIN DATABASE'!$F:$F,Summary!$B5,'MAIN DATABASE'!$J:$J,Summary!L$2)</f>
        <v>#REF!</v>
      </c>
      <c r="M5" t="e">
        <f>SUMIFS('MAIN DATABASE'!#REF!,'MAIN DATABASE'!$F:$F,Summary!$B5,'MAIN DATABASE'!$J:$J,Summary!M$2)</f>
        <v>#REF!</v>
      </c>
      <c r="N5" t="e">
        <f>SUMIFS('MAIN DATABASE'!#REF!,'MAIN DATABASE'!$F:$F,Summary!$B5,'MAIN DATABASE'!$J:$J,Summary!N$2)</f>
        <v>#REF!</v>
      </c>
      <c r="O5" t="e">
        <f>SUMIFS('MAIN DATABASE'!#REF!,'MAIN DATABASE'!$F:$F,Summary!$B5,'MAIN DATABASE'!$J:$J,Summary!O$2)</f>
        <v>#REF!</v>
      </c>
      <c r="P5" t="e">
        <f>SUMIFS('MAIN DATABASE'!#REF!,'MAIN DATABASE'!$F:$F,Summary!$B5,'MAIN DATABASE'!$J:$J,Summary!P$2)</f>
        <v>#REF!</v>
      </c>
      <c r="Q5" t="e">
        <f>SUMIFS('MAIN DATABASE'!#REF!,'MAIN DATABASE'!$F:$F,Summary!$B5,'MAIN DATABASE'!$J:$J,Summary!Q$2)</f>
        <v>#REF!</v>
      </c>
      <c r="R5" t="e">
        <f t="shared" si="1"/>
        <v>#REF!</v>
      </c>
      <c r="S5" t="e">
        <f t="shared" si="2"/>
        <v>#REF!</v>
      </c>
      <c r="T5" t="e">
        <f t="shared" si="3"/>
        <v>#REF!</v>
      </c>
      <c r="U5" t="e">
        <f t="shared" si="4"/>
        <v>#REF!</v>
      </c>
    </row>
    <row r="6" spans="2:21">
      <c r="B6" t="s">
        <v>84</v>
      </c>
      <c r="I6">
        <f t="shared" si="0"/>
        <v>0</v>
      </c>
      <c r="J6" t="e">
        <f>SUMIFS('MAIN DATABASE'!#REF!,'MAIN DATABASE'!$F:$F,Summary!$B6,'MAIN DATABASE'!$J:$J,Summary!J$2)</f>
        <v>#REF!</v>
      </c>
      <c r="K6" t="e">
        <f>SUMIFS('MAIN DATABASE'!#REF!,'MAIN DATABASE'!$F:$F,Summary!$B6,'MAIN DATABASE'!$J:$J,Summary!K$2)</f>
        <v>#REF!</v>
      </c>
      <c r="L6" t="e">
        <f>SUMIFS('MAIN DATABASE'!#REF!,'MAIN DATABASE'!$F:$F,Summary!$B6,'MAIN DATABASE'!$J:$J,Summary!L$2)</f>
        <v>#REF!</v>
      </c>
      <c r="M6" t="e">
        <f>SUMIFS('MAIN DATABASE'!#REF!,'MAIN DATABASE'!$F:$F,Summary!$B6,'MAIN DATABASE'!$J:$J,Summary!M$2)</f>
        <v>#REF!</v>
      </c>
      <c r="N6" t="e">
        <f>SUMIFS('MAIN DATABASE'!#REF!,'MAIN DATABASE'!$F:$F,Summary!$B6,'MAIN DATABASE'!$J:$J,Summary!N$2)</f>
        <v>#REF!</v>
      </c>
      <c r="O6" t="e">
        <f>SUMIFS('MAIN DATABASE'!#REF!,'MAIN DATABASE'!$F:$F,Summary!$B6,'MAIN DATABASE'!$J:$J,Summary!O$2)</f>
        <v>#REF!</v>
      </c>
      <c r="P6" t="e">
        <f>SUMIFS('MAIN DATABASE'!#REF!,'MAIN DATABASE'!$F:$F,Summary!$B6,'MAIN DATABASE'!$J:$J,Summary!P$2)</f>
        <v>#REF!</v>
      </c>
      <c r="Q6" t="e">
        <f>SUMIFS('MAIN DATABASE'!#REF!,'MAIN DATABASE'!$F:$F,Summary!$B6,'MAIN DATABASE'!$J:$J,Summary!Q$2)</f>
        <v>#REF!</v>
      </c>
      <c r="R6" t="e">
        <f t="shared" si="1"/>
        <v>#REF!</v>
      </c>
      <c r="S6" t="e">
        <f t="shared" si="2"/>
        <v>#REF!</v>
      </c>
      <c r="T6" t="e">
        <f t="shared" si="3"/>
        <v>#REF!</v>
      </c>
      <c r="U6" t="e">
        <f t="shared" si="4"/>
        <v>#REF!</v>
      </c>
    </row>
    <row r="7" spans="2:21">
      <c r="B7" t="s">
        <v>74</v>
      </c>
      <c r="I7">
        <f t="shared" si="0"/>
        <v>0</v>
      </c>
      <c r="J7" t="e">
        <f>SUMIFS('MAIN DATABASE'!#REF!,'MAIN DATABASE'!$F:$F,Summary!$B7,'MAIN DATABASE'!$J:$J,Summary!J$2)</f>
        <v>#REF!</v>
      </c>
      <c r="K7" t="e">
        <f>SUMIFS('MAIN DATABASE'!#REF!,'MAIN DATABASE'!$F:$F,Summary!$B7,'MAIN DATABASE'!$J:$J,Summary!K$2)</f>
        <v>#REF!</v>
      </c>
      <c r="L7" t="e">
        <f>SUMIFS('MAIN DATABASE'!#REF!,'MAIN DATABASE'!$F:$F,Summary!$B7,'MAIN DATABASE'!$J:$J,Summary!L$2)</f>
        <v>#REF!</v>
      </c>
      <c r="M7" t="e">
        <f>SUMIFS('MAIN DATABASE'!#REF!,'MAIN DATABASE'!$F:$F,Summary!$B7,'MAIN DATABASE'!$J:$J,Summary!M$2)</f>
        <v>#REF!</v>
      </c>
      <c r="N7" t="e">
        <f>SUMIFS('MAIN DATABASE'!#REF!,'MAIN DATABASE'!$F:$F,Summary!$B7,'MAIN DATABASE'!$J:$J,Summary!N$2)</f>
        <v>#REF!</v>
      </c>
      <c r="O7" t="e">
        <f>SUMIFS('MAIN DATABASE'!#REF!,'MAIN DATABASE'!$F:$F,Summary!$B7,'MAIN DATABASE'!$J:$J,Summary!O$2)</f>
        <v>#REF!</v>
      </c>
      <c r="P7" t="e">
        <f>SUMIFS('MAIN DATABASE'!#REF!,'MAIN DATABASE'!$F:$F,Summary!$B7,'MAIN DATABASE'!$J:$J,Summary!P$2)</f>
        <v>#REF!</v>
      </c>
      <c r="Q7" t="e">
        <f>SUMIFS('MAIN DATABASE'!#REF!,'MAIN DATABASE'!$F:$F,Summary!$B7,'MAIN DATABASE'!$J:$J,Summary!Q$2)</f>
        <v>#REF!</v>
      </c>
      <c r="R7" t="e">
        <f t="shared" si="1"/>
        <v>#REF!</v>
      </c>
      <c r="S7" t="e">
        <f t="shared" si="2"/>
        <v>#REF!</v>
      </c>
      <c r="T7" t="e">
        <f t="shared" si="3"/>
        <v>#REF!</v>
      </c>
      <c r="U7" t="e">
        <f t="shared" si="4"/>
        <v>#REF!</v>
      </c>
    </row>
    <row r="8" spans="2:21">
      <c r="B8" t="s">
        <v>83</v>
      </c>
      <c r="I8">
        <f t="shared" si="0"/>
        <v>0</v>
      </c>
      <c r="J8" t="e">
        <f>SUMIFS('MAIN DATABASE'!#REF!,'MAIN DATABASE'!$F:$F,Summary!$B8,'MAIN DATABASE'!$J:$J,Summary!J$2)</f>
        <v>#REF!</v>
      </c>
      <c r="K8" t="e">
        <f>SUMIFS('MAIN DATABASE'!#REF!,'MAIN DATABASE'!$F:$F,Summary!$B8,'MAIN DATABASE'!$J:$J,Summary!K$2)</f>
        <v>#REF!</v>
      </c>
      <c r="L8" t="e">
        <f>SUMIFS('MAIN DATABASE'!#REF!,'MAIN DATABASE'!$F:$F,Summary!$B8,'MAIN DATABASE'!$J:$J,Summary!L$2)</f>
        <v>#REF!</v>
      </c>
      <c r="M8" t="e">
        <f>SUMIFS('MAIN DATABASE'!#REF!,'MAIN DATABASE'!$F:$F,Summary!$B8,'MAIN DATABASE'!$J:$J,Summary!M$2)</f>
        <v>#REF!</v>
      </c>
      <c r="N8" t="e">
        <f>SUMIFS('MAIN DATABASE'!#REF!,'MAIN DATABASE'!$F:$F,Summary!$B8,'MAIN DATABASE'!$J:$J,Summary!N$2)</f>
        <v>#REF!</v>
      </c>
      <c r="O8" t="e">
        <f>SUMIFS('MAIN DATABASE'!#REF!,'MAIN DATABASE'!$F:$F,Summary!$B8,'MAIN DATABASE'!$J:$J,Summary!O$2)</f>
        <v>#REF!</v>
      </c>
      <c r="P8" t="e">
        <f>SUMIFS('MAIN DATABASE'!#REF!,'MAIN DATABASE'!$F:$F,Summary!$B8,'MAIN DATABASE'!$J:$J,Summary!P$2)</f>
        <v>#REF!</v>
      </c>
      <c r="Q8" t="e">
        <f>SUMIFS('MAIN DATABASE'!#REF!,'MAIN DATABASE'!$F:$F,Summary!$B8,'MAIN DATABASE'!$J:$J,Summary!Q$2)</f>
        <v>#REF!</v>
      </c>
      <c r="R8" t="e">
        <f t="shared" si="1"/>
        <v>#REF!</v>
      </c>
      <c r="S8" t="e">
        <f t="shared" si="2"/>
        <v>#REF!</v>
      </c>
      <c r="T8" t="e">
        <f t="shared" si="3"/>
        <v>#REF!</v>
      </c>
      <c r="U8" t="e">
        <f t="shared" si="4"/>
        <v>#REF!</v>
      </c>
    </row>
    <row r="9" spans="2:21">
      <c r="B9" t="s">
        <v>170</v>
      </c>
      <c r="I9">
        <f t="shared" si="0"/>
        <v>0</v>
      </c>
      <c r="J9" t="e">
        <f>SUMIFS('MAIN DATABASE'!#REF!,'MAIN DATABASE'!$F:$F,Summary!$B9,'MAIN DATABASE'!$J:$J,Summary!J$2)</f>
        <v>#REF!</v>
      </c>
      <c r="K9" t="e">
        <f>SUMIFS('MAIN DATABASE'!#REF!,'MAIN DATABASE'!$F:$F,Summary!$B9,'MAIN DATABASE'!$J:$J,Summary!K$2)</f>
        <v>#REF!</v>
      </c>
      <c r="L9" t="e">
        <f>SUMIFS('MAIN DATABASE'!#REF!,'MAIN DATABASE'!$F:$F,Summary!$B9,'MAIN DATABASE'!$J:$J,Summary!L$2)</f>
        <v>#REF!</v>
      </c>
      <c r="M9" t="e">
        <f>SUMIFS('MAIN DATABASE'!#REF!,'MAIN DATABASE'!$F:$F,Summary!$B9,'MAIN DATABASE'!$J:$J,Summary!M$2)</f>
        <v>#REF!</v>
      </c>
      <c r="N9" t="e">
        <f>SUMIFS('MAIN DATABASE'!#REF!,'MAIN DATABASE'!$F:$F,Summary!$B9,'MAIN DATABASE'!$J:$J,Summary!N$2)</f>
        <v>#REF!</v>
      </c>
      <c r="O9" t="e">
        <f>SUMIFS('MAIN DATABASE'!#REF!,'MAIN DATABASE'!$F:$F,Summary!$B9,'MAIN DATABASE'!$J:$J,Summary!O$2)</f>
        <v>#REF!</v>
      </c>
      <c r="P9" t="e">
        <f>SUMIFS('MAIN DATABASE'!#REF!,'MAIN DATABASE'!$F:$F,Summary!$B9,'MAIN DATABASE'!$J:$J,Summary!P$2)</f>
        <v>#REF!</v>
      </c>
      <c r="Q9" t="e">
        <f>SUMIFS('MAIN DATABASE'!#REF!,'MAIN DATABASE'!$F:$F,Summary!$B9,'MAIN DATABASE'!$J:$J,Summary!Q$2)</f>
        <v>#REF!</v>
      </c>
      <c r="R9" t="e">
        <f t="shared" si="1"/>
        <v>#REF!</v>
      </c>
      <c r="S9" t="e">
        <f t="shared" si="2"/>
        <v>#REF!</v>
      </c>
      <c r="T9" t="e">
        <f t="shared" si="3"/>
        <v>#REF!</v>
      </c>
      <c r="U9" t="e">
        <f t="shared" si="4"/>
        <v>#REF!</v>
      </c>
    </row>
    <row r="10" spans="2:21">
      <c r="B10" t="s">
        <v>21</v>
      </c>
      <c r="I10">
        <f t="shared" si="0"/>
        <v>0</v>
      </c>
      <c r="J10" t="e">
        <f>SUMIFS('MAIN DATABASE'!#REF!,'MAIN DATABASE'!$F:$F,Summary!$B10,'MAIN DATABASE'!$J:$J,Summary!J$2)</f>
        <v>#REF!</v>
      </c>
      <c r="K10" t="e">
        <f>SUMIFS('MAIN DATABASE'!#REF!,'MAIN DATABASE'!$F:$F,Summary!$B10,'MAIN DATABASE'!$J:$J,Summary!K$2)</f>
        <v>#REF!</v>
      </c>
      <c r="L10" t="e">
        <f>SUMIFS('MAIN DATABASE'!#REF!,'MAIN DATABASE'!$F:$F,Summary!$B10,'MAIN DATABASE'!$J:$J,Summary!L$2)</f>
        <v>#REF!</v>
      </c>
      <c r="M10" t="e">
        <f>SUMIFS('MAIN DATABASE'!#REF!,'MAIN DATABASE'!$F:$F,Summary!$B10,'MAIN DATABASE'!$J:$J,Summary!M$2)</f>
        <v>#REF!</v>
      </c>
      <c r="N10" t="e">
        <f>SUMIFS('MAIN DATABASE'!#REF!,'MAIN DATABASE'!$F:$F,Summary!$B10,'MAIN DATABASE'!$J:$J,Summary!N$2)</f>
        <v>#REF!</v>
      </c>
      <c r="O10" t="e">
        <f>SUMIFS('MAIN DATABASE'!#REF!,'MAIN DATABASE'!$F:$F,Summary!$B10,'MAIN DATABASE'!$J:$J,Summary!O$2)</f>
        <v>#REF!</v>
      </c>
      <c r="P10" t="e">
        <f>SUMIFS('MAIN DATABASE'!#REF!,'MAIN DATABASE'!$F:$F,Summary!$B10,'MAIN DATABASE'!$J:$J,Summary!P$2)</f>
        <v>#REF!</v>
      </c>
      <c r="Q10" t="e">
        <f>SUMIFS('MAIN DATABASE'!#REF!,'MAIN DATABASE'!$F:$F,Summary!$B10,'MAIN DATABASE'!$J:$J,Summary!Q$2)</f>
        <v>#REF!</v>
      </c>
      <c r="R10" t="e">
        <f t="shared" si="1"/>
        <v>#REF!</v>
      </c>
      <c r="S10" t="e">
        <f t="shared" si="2"/>
        <v>#REF!</v>
      </c>
      <c r="T10" t="e">
        <f t="shared" si="3"/>
        <v>#REF!</v>
      </c>
      <c r="U10" t="e">
        <f t="shared" si="4"/>
        <v>#REF!</v>
      </c>
    </row>
    <row r="11" spans="2:21">
      <c r="B11" t="s">
        <v>81</v>
      </c>
      <c r="I11">
        <f t="shared" si="0"/>
        <v>0</v>
      </c>
      <c r="J11" t="e">
        <f>SUMIFS('MAIN DATABASE'!#REF!,'MAIN DATABASE'!$F:$F,Summary!$B11,'MAIN DATABASE'!$J:$J,Summary!J$2)</f>
        <v>#REF!</v>
      </c>
      <c r="K11" t="e">
        <f>SUMIFS('MAIN DATABASE'!#REF!,'MAIN DATABASE'!$F:$F,Summary!$B11,'MAIN DATABASE'!$J:$J,Summary!K$2)</f>
        <v>#REF!</v>
      </c>
      <c r="L11" t="e">
        <f>SUMIFS('MAIN DATABASE'!#REF!,'MAIN DATABASE'!$F:$F,Summary!$B11,'MAIN DATABASE'!$J:$J,Summary!L$2)</f>
        <v>#REF!</v>
      </c>
      <c r="M11" t="e">
        <f>SUMIFS('MAIN DATABASE'!#REF!,'MAIN DATABASE'!$F:$F,Summary!$B11,'MAIN DATABASE'!$J:$J,Summary!M$2)</f>
        <v>#REF!</v>
      </c>
      <c r="N11" t="e">
        <f>SUMIFS('MAIN DATABASE'!#REF!,'MAIN DATABASE'!$F:$F,Summary!$B11,'MAIN DATABASE'!$J:$J,Summary!N$2)</f>
        <v>#REF!</v>
      </c>
      <c r="O11" t="e">
        <f>SUMIFS('MAIN DATABASE'!#REF!,'MAIN DATABASE'!$F:$F,Summary!$B11,'MAIN DATABASE'!$J:$J,Summary!O$2)</f>
        <v>#REF!</v>
      </c>
      <c r="P11" t="e">
        <f>SUMIFS('MAIN DATABASE'!#REF!,'MAIN DATABASE'!$F:$F,Summary!$B11,'MAIN DATABASE'!$J:$J,Summary!P$2)</f>
        <v>#REF!</v>
      </c>
      <c r="Q11" t="e">
        <f>SUMIFS('MAIN DATABASE'!#REF!,'MAIN DATABASE'!$F:$F,Summary!$B11,'MAIN DATABASE'!$J:$J,Summary!Q$2)</f>
        <v>#REF!</v>
      </c>
      <c r="R11" t="e">
        <f t="shared" si="1"/>
        <v>#REF!</v>
      </c>
      <c r="S11" t="e">
        <f t="shared" si="2"/>
        <v>#REF!</v>
      </c>
      <c r="T11" t="e">
        <f t="shared" si="3"/>
        <v>#REF!</v>
      </c>
      <c r="U11" t="e">
        <f t="shared" si="4"/>
        <v>#REF!</v>
      </c>
    </row>
    <row r="12" spans="2:21">
      <c r="B12" t="s">
        <v>287</v>
      </c>
      <c r="I12">
        <f t="shared" si="0"/>
        <v>0</v>
      </c>
      <c r="J12" t="e">
        <f>SUMIFS('MAIN DATABASE'!#REF!,'MAIN DATABASE'!$F:$F,Summary!$B12,'MAIN DATABASE'!$J:$J,Summary!J$2)</f>
        <v>#REF!</v>
      </c>
      <c r="K12" t="e">
        <f>SUMIFS('MAIN DATABASE'!#REF!,'MAIN DATABASE'!$F:$F,Summary!$B12,'MAIN DATABASE'!$J:$J,Summary!K$2)</f>
        <v>#REF!</v>
      </c>
      <c r="L12" t="e">
        <f>SUMIFS('MAIN DATABASE'!#REF!,'MAIN DATABASE'!$F:$F,Summary!$B12,'MAIN DATABASE'!$J:$J,Summary!L$2)</f>
        <v>#REF!</v>
      </c>
      <c r="M12" t="e">
        <f>SUMIFS('MAIN DATABASE'!#REF!,'MAIN DATABASE'!$F:$F,Summary!$B12,'MAIN DATABASE'!$J:$J,Summary!M$2)</f>
        <v>#REF!</v>
      </c>
      <c r="N12" t="e">
        <f>SUMIFS('MAIN DATABASE'!#REF!,'MAIN DATABASE'!$F:$F,Summary!$B12,'MAIN DATABASE'!$J:$J,Summary!N$2)</f>
        <v>#REF!</v>
      </c>
      <c r="O12" t="e">
        <f>SUMIFS('MAIN DATABASE'!#REF!,'MAIN DATABASE'!$F:$F,Summary!$B12,'MAIN DATABASE'!$J:$J,Summary!O$2)</f>
        <v>#REF!</v>
      </c>
      <c r="P12" t="e">
        <f>SUMIFS('MAIN DATABASE'!#REF!,'MAIN DATABASE'!$F:$F,Summary!$B12,'MAIN DATABASE'!$J:$J,Summary!P$2)</f>
        <v>#REF!</v>
      </c>
      <c r="Q12" t="e">
        <f>SUMIFS('MAIN DATABASE'!#REF!,'MAIN DATABASE'!$F:$F,Summary!$B12,'MAIN DATABASE'!$J:$J,Summary!Q$2)</f>
        <v>#REF!</v>
      </c>
      <c r="R12" t="e">
        <f t="shared" si="1"/>
        <v>#REF!</v>
      </c>
      <c r="S12" t="e">
        <f t="shared" si="2"/>
        <v>#REF!</v>
      </c>
      <c r="T12" t="e">
        <f t="shared" si="3"/>
        <v>#REF!</v>
      </c>
      <c r="U12" s="26" t="e">
        <f t="shared" si="4"/>
        <v>#REF!</v>
      </c>
    </row>
    <row r="13" spans="2:21">
      <c r="B13" t="s">
        <v>80</v>
      </c>
      <c r="I13">
        <f t="shared" si="0"/>
        <v>0</v>
      </c>
      <c r="J13" t="e">
        <f>SUMIFS('MAIN DATABASE'!#REF!,'MAIN DATABASE'!$F:$F,Summary!$B13,'MAIN DATABASE'!$J:$J,Summary!J$2)</f>
        <v>#REF!</v>
      </c>
      <c r="K13" t="e">
        <f>SUMIFS('MAIN DATABASE'!#REF!,'MAIN DATABASE'!$F:$F,Summary!$B13,'MAIN DATABASE'!$J:$J,Summary!K$2)</f>
        <v>#REF!</v>
      </c>
      <c r="L13" t="e">
        <f>SUMIFS('MAIN DATABASE'!#REF!,'MAIN DATABASE'!$F:$F,Summary!$B13,'MAIN DATABASE'!$J:$J,Summary!L$2)</f>
        <v>#REF!</v>
      </c>
      <c r="M13" t="e">
        <f>SUMIFS('MAIN DATABASE'!#REF!,'MAIN DATABASE'!$F:$F,Summary!$B13,'MAIN DATABASE'!$J:$J,Summary!M$2)</f>
        <v>#REF!</v>
      </c>
      <c r="N13" t="e">
        <f>SUMIFS('MAIN DATABASE'!#REF!,'MAIN DATABASE'!$F:$F,Summary!$B13,'MAIN DATABASE'!$J:$J,Summary!N$2)</f>
        <v>#REF!</v>
      </c>
      <c r="O13" t="e">
        <f>SUMIFS('MAIN DATABASE'!#REF!,'MAIN DATABASE'!$F:$F,Summary!$B13,'MAIN DATABASE'!$J:$J,Summary!O$2)</f>
        <v>#REF!</v>
      </c>
      <c r="P13" t="e">
        <f>SUMIFS('MAIN DATABASE'!#REF!,'MAIN DATABASE'!$F:$F,Summary!$B13,'MAIN DATABASE'!$J:$J,Summary!P$2)</f>
        <v>#REF!</v>
      </c>
      <c r="Q13" t="e">
        <f>SUMIFS('MAIN DATABASE'!#REF!,'MAIN DATABASE'!$F:$F,Summary!$B13,'MAIN DATABASE'!$J:$J,Summary!Q$2)</f>
        <v>#REF!</v>
      </c>
      <c r="R13" t="e">
        <f t="shared" si="1"/>
        <v>#REF!</v>
      </c>
      <c r="S13" t="e">
        <f t="shared" si="2"/>
        <v>#REF!</v>
      </c>
      <c r="T13" t="e">
        <f t="shared" si="3"/>
        <v>#REF!</v>
      </c>
      <c r="U13" t="e">
        <f t="shared" si="4"/>
        <v>#REF!</v>
      </c>
    </row>
    <row r="14" spans="2:21">
      <c r="B14" t="s">
        <v>165</v>
      </c>
      <c r="I14">
        <f t="shared" si="0"/>
        <v>0</v>
      </c>
      <c r="J14" t="e">
        <f>SUMIFS('MAIN DATABASE'!#REF!,'MAIN DATABASE'!$F:$F,Summary!$B14,'MAIN DATABASE'!$J:$J,Summary!J$2)</f>
        <v>#REF!</v>
      </c>
      <c r="K14" t="e">
        <f>SUMIFS('MAIN DATABASE'!#REF!,'MAIN DATABASE'!$F:$F,Summary!$B14,'MAIN DATABASE'!$J:$J,Summary!K$2)</f>
        <v>#REF!</v>
      </c>
      <c r="L14" t="e">
        <f>SUMIFS('MAIN DATABASE'!#REF!,'MAIN DATABASE'!$F:$F,Summary!$B14,'MAIN DATABASE'!$J:$J,Summary!L$2)</f>
        <v>#REF!</v>
      </c>
      <c r="M14" t="e">
        <f>SUMIFS('MAIN DATABASE'!#REF!,'MAIN DATABASE'!$F:$F,Summary!$B14,'MAIN DATABASE'!$J:$J,Summary!M$2)</f>
        <v>#REF!</v>
      </c>
      <c r="N14" t="e">
        <f>SUMIFS('MAIN DATABASE'!#REF!,'MAIN DATABASE'!$F:$F,Summary!$B14,'MAIN DATABASE'!$J:$J,Summary!N$2)</f>
        <v>#REF!</v>
      </c>
      <c r="O14" t="e">
        <f>SUMIFS('MAIN DATABASE'!#REF!,'MAIN DATABASE'!$F:$F,Summary!$B14,'MAIN DATABASE'!$J:$J,Summary!O$2)</f>
        <v>#REF!</v>
      </c>
      <c r="P14" t="e">
        <f>SUMIFS('MAIN DATABASE'!#REF!,'MAIN DATABASE'!$F:$F,Summary!$B14,'MAIN DATABASE'!$J:$J,Summary!P$2)</f>
        <v>#REF!</v>
      </c>
      <c r="Q14" t="e">
        <f>SUMIFS('MAIN DATABASE'!#REF!,'MAIN DATABASE'!$F:$F,Summary!$B14,'MAIN DATABASE'!$J:$J,Summary!Q$2)</f>
        <v>#REF!</v>
      </c>
      <c r="R14" t="e">
        <f t="shared" si="1"/>
        <v>#REF!</v>
      </c>
      <c r="S14" t="e">
        <f t="shared" si="2"/>
        <v>#REF!</v>
      </c>
      <c r="T14" t="e">
        <f t="shared" si="3"/>
        <v>#REF!</v>
      </c>
      <c r="U14" t="e">
        <f t="shared" si="4"/>
        <v>#REF!</v>
      </c>
    </row>
    <row r="15" spans="2:21">
      <c r="B15" t="s">
        <v>167</v>
      </c>
      <c r="I15">
        <f t="shared" si="0"/>
        <v>0</v>
      </c>
      <c r="J15" t="e">
        <f>SUMIFS('MAIN DATABASE'!#REF!,'MAIN DATABASE'!$F:$F,Summary!$B15,'MAIN DATABASE'!$J:$J,Summary!J$2)</f>
        <v>#REF!</v>
      </c>
      <c r="K15" t="e">
        <f>SUMIFS('MAIN DATABASE'!#REF!,'MAIN DATABASE'!$F:$F,Summary!$B15,'MAIN DATABASE'!$J:$J,Summary!K$2)</f>
        <v>#REF!</v>
      </c>
      <c r="L15" t="e">
        <f>SUMIFS('MAIN DATABASE'!#REF!,'MAIN DATABASE'!$F:$F,Summary!$B15,'MAIN DATABASE'!$J:$J,Summary!L$2)</f>
        <v>#REF!</v>
      </c>
      <c r="M15" t="e">
        <f>SUMIFS('MAIN DATABASE'!#REF!,'MAIN DATABASE'!$F:$F,Summary!$B15,'MAIN DATABASE'!$J:$J,Summary!M$2)</f>
        <v>#REF!</v>
      </c>
      <c r="N15" t="e">
        <f>SUMIFS('MAIN DATABASE'!#REF!,'MAIN DATABASE'!$F:$F,Summary!$B15,'MAIN DATABASE'!$J:$J,Summary!N$2)</f>
        <v>#REF!</v>
      </c>
      <c r="O15" t="e">
        <f>SUMIFS('MAIN DATABASE'!#REF!,'MAIN DATABASE'!$F:$F,Summary!$B15,'MAIN DATABASE'!$J:$J,Summary!O$2)</f>
        <v>#REF!</v>
      </c>
      <c r="P15" t="e">
        <f>SUMIFS('MAIN DATABASE'!#REF!,'MAIN DATABASE'!$F:$F,Summary!$B15,'MAIN DATABASE'!$J:$J,Summary!P$2)</f>
        <v>#REF!</v>
      </c>
      <c r="Q15" t="e">
        <f>SUMIFS('MAIN DATABASE'!#REF!,'MAIN DATABASE'!$F:$F,Summary!$B15,'MAIN DATABASE'!$J:$J,Summary!Q$2)</f>
        <v>#REF!</v>
      </c>
      <c r="R15" t="e">
        <f t="shared" si="1"/>
        <v>#REF!</v>
      </c>
      <c r="S15" t="e">
        <f t="shared" si="2"/>
        <v>#REF!</v>
      </c>
      <c r="T15" t="e">
        <f t="shared" si="3"/>
        <v>#REF!</v>
      </c>
      <c r="U15" t="e">
        <f t="shared" si="4"/>
        <v>#REF!</v>
      </c>
    </row>
    <row r="16" spans="2:21">
      <c r="B16" t="s">
        <v>166</v>
      </c>
      <c r="I16">
        <f t="shared" si="0"/>
        <v>0</v>
      </c>
      <c r="J16" t="e">
        <f>SUMIFS('MAIN DATABASE'!#REF!,'MAIN DATABASE'!$F:$F,Summary!$B16,'MAIN DATABASE'!$J:$J,Summary!J$2)</f>
        <v>#REF!</v>
      </c>
      <c r="K16" t="e">
        <f>SUMIFS('MAIN DATABASE'!#REF!,'MAIN DATABASE'!$F:$F,Summary!$B16,'MAIN DATABASE'!$J:$J,Summary!K$2)</f>
        <v>#REF!</v>
      </c>
      <c r="L16" t="e">
        <f>SUMIFS('MAIN DATABASE'!#REF!,'MAIN DATABASE'!$F:$F,Summary!$B16,'MAIN DATABASE'!$J:$J,Summary!L$2)</f>
        <v>#REF!</v>
      </c>
      <c r="M16" t="e">
        <f>SUMIFS('MAIN DATABASE'!#REF!,'MAIN DATABASE'!$F:$F,Summary!$B16,'MAIN DATABASE'!$J:$J,Summary!M$2)</f>
        <v>#REF!</v>
      </c>
      <c r="N16" t="e">
        <f>SUMIFS('MAIN DATABASE'!#REF!,'MAIN DATABASE'!$F:$F,Summary!$B16,'MAIN DATABASE'!$J:$J,Summary!N$2)</f>
        <v>#REF!</v>
      </c>
      <c r="O16" t="e">
        <f>SUMIFS('MAIN DATABASE'!#REF!,'MAIN DATABASE'!$F:$F,Summary!$B16,'MAIN DATABASE'!$J:$J,Summary!O$2)</f>
        <v>#REF!</v>
      </c>
      <c r="P16" t="e">
        <f>SUMIFS('MAIN DATABASE'!#REF!,'MAIN DATABASE'!$F:$F,Summary!$B16,'MAIN DATABASE'!$J:$J,Summary!P$2)</f>
        <v>#REF!</v>
      </c>
      <c r="Q16" t="e">
        <f>SUMIFS('MAIN DATABASE'!#REF!,'MAIN DATABASE'!$F:$F,Summary!$B16,'MAIN DATABASE'!$J:$J,Summary!Q$2)</f>
        <v>#REF!</v>
      </c>
      <c r="R16" t="e">
        <f t="shared" si="1"/>
        <v>#REF!</v>
      </c>
      <c r="S16" t="e">
        <f t="shared" si="2"/>
        <v>#REF!</v>
      </c>
      <c r="T16" t="e">
        <f t="shared" si="3"/>
        <v>#REF!</v>
      </c>
      <c r="U16" t="e">
        <f t="shared" si="4"/>
        <v>#REF!</v>
      </c>
    </row>
    <row r="17" spans="2:21">
      <c r="B17" t="s">
        <v>19</v>
      </c>
      <c r="I17">
        <f t="shared" si="0"/>
        <v>0</v>
      </c>
      <c r="J17" t="e">
        <f>SUMIFS('MAIN DATABASE'!#REF!,'MAIN DATABASE'!$F:$F,Summary!$B17,'MAIN DATABASE'!$J:$J,Summary!J$2)</f>
        <v>#REF!</v>
      </c>
      <c r="K17" t="e">
        <f>SUMIFS('MAIN DATABASE'!#REF!,'MAIN DATABASE'!$F:$F,Summary!$B17,'MAIN DATABASE'!$J:$J,Summary!K$2)</f>
        <v>#REF!</v>
      </c>
      <c r="L17" t="e">
        <f>SUMIFS('MAIN DATABASE'!#REF!,'MAIN DATABASE'!$F:$F,Summary!$B17,'MAIN DATABASE'!$J:$J,Summary!L$2)</f>
        <v>#REF!</v>
      </c>
      <c r="M17" t="e">
        <f>SUMIFS('MAIN DATABASE'!#REF!,'MAIN DATABASE'!$F:$F,Summary!$B17,'MAIN DATABASE'!$J:$J,Summary!M$2)</f>
        <v>#REF!</v>
      </c>
      <c r="N17" t="e">
        <f>SUMIFS('MAIN DATABASE'!#REF!,'MAIN DATABASE'!$F:$F,Summary!$B17,'MAIN DATABASE'!$J:$J,Summary!N$2)</f>
        <v>#REF!</v>
      </c>
      <c r="O17" t="e">
        <f>SUMIFS('MAIN DATABASE'!#REF!,'MAIN DATABASE'!$F:$F,Summary!$B17,'MAIN DATABASE'!$J:$J,Summary!O$2)</f>
        <v>#REF!</v>
      </c>
      <c r="P17" t="e">
        <f>SUMIFS('MAIN DATABASE'!#REF!,'MAIN DATABASE'!$F:$F,Summary!$B17,'MAIN DATABASE'!$J:$J,Summary!P$2)</f>
        <v>#REF!</v>
      </c>
      <c r="Q17" t="e">
        <f>SUMIFS('MAIN DATABASE'!#REF!,'MAIN DATABASE'!$F:$F,Summary!$B17,'MAIN DATABASE'!$J:$J,Summary!Q$2)</f>
        <v>#REF!</v>
      </c>
      <c r="R17" t="e">
        <f t="shared" si="1"/>
        <v>#REF!</v>
      </c>
      <c r="S17" t="e">
        <f t="shared" si="2"/>
        <v>#REF!</v>
      </c>
      <c r="T17" t="e">
        <f t="shared" si="3"/>
        <v>#REF!</v>
      </c>
      <c r="U17" t="e">
        <f t="shared" si="4"/>
        <v>#REF!</v>
      </c>
    </row>
    <row r="18" spans="2:21">
      <c r="B18" t="s">
        <v>160</v>
      </c>
      <c r="I18">
        <f t="shared" si="0"/>
        <v>0</v>
      </c>
      <c r="J18" t="e">
        <f>SUMIFS('MAIN DATABASE'!#REF!,'MAIN DATABASE'!$F:$F,Summary!$B18,'MAIN DATABASE'!$J:$J,Summary!J$2)</f>
        <v>#REF!</v>
      </c>
      <c r="K18" t="e">
        <f>SUMIFS('MAIN DATABASE'!#REF!,'MAIN DATABASE'!$F:$F,Summary!$B18,'MAIN DATABASE'!$J:$J,Summary!K$2)</f>
        <v>#REF!</v>
      </c>
      <c r="L18" t="e">
        <f>SUMIFS('MAIN DATABASE'!#REF!,'MAIN DATABASE'!$F:$F,Summary!$B18,'MAIN DATABASE'!$J:$J,Summary!L$2)</f>
        <v>#REF!</v>
      </c>
      <c r="M18" t="e">
        <f>SUMIFS('MAIN DATABASE'!#REF!,'MAIN DATABASE'!$F:$F,Summary!$B18,'MAIN DATABASE'!$J:$J,Summary!M$2)</f>
        <v>#REF!</v>
      </c>
      <c r="N18" t="e">
        <f>SUMIFS('MAIN DATABASE'!#REF!,'MAIN DATABASE'!$F:$F,Summary!$B18,'MAIN DATABASE'!$J:$J,Summary!N$2)</f>
        <v>#REF!</v>
      </c>
      <c r="O18" t="e">
        <f>SUMIFS('MAIN DATABASE'!#REF!,'MAIN DATABASE'!$F:$F,Summary!$B18,'MAIN DATABASE'!$J:$J,Summary!O$2)</f>
        <v>#REF!</v>
      </c>
      <c r="P18" t="e">
        <f>SUMIFS('MAIN DATABASE'!#REF!,'MAIN DATABASE'!$F:$F,Summary!$B18,'MAIN DATABASE'!$J:$J,Summary!P$2)</f>
        <v>#REF!</v>
      </c>
      <c r="Q18" t="e">
        <f>SUMIFS('MAIN DATABASE'!#REF!,'MAIN DATABASE'!$F:$F,Summary!$B18,'MAIN DATABASE'!$J:$J,Summary!Q$2)</f>
        <v>#REF!</v>
      </c>
      <c r="R18" t="e">
        <f t="shared" si="1"/>
        <v>#REF!</v>
      </c>
      <c r="S18" t="e">
        <f t="shared" si="2"/>
        <v>#REF!</v>
      </c>
      <c r="T18" t="e">
        <f t="shared" si="3"/>
        <v>#REF!</v>
      </c>
      <c r="U18" t="e">
        <f t="shared" si="4"/>
        <v>#REF!</v>
      </c>
    </row>
    <row r="19" spans="2:21">
      <c r="B19" t="s">
        <v>78</v>
      </c>
      <c r="I19">
        <f t="shared" si="0"/>
        <v>0</v>
      </c>
      <c r="J19" t="e">
        <f>SUMIFS('MAIN DATABASE'!#REF!,'MAIN DATABASE'!$F:$F,Summary!$B19,'MAIN DATABASE'!$J:$J,Summary!J$2)</f>
        <v>#REF!</v>
      </c>
      <c r="K19" t="e">
        <f>SUMIFS('MAIN DATABASE'!#REF!,'MAIN DATABASE'!$F:$F,Summary!$B19,'MAIN DATABASE'!$J:$J,Summary!K$2)</f>
        <v>#REF!</v>
      </c>
      <c r="L19" t="e">
        <f>SUMIFS('MAIN DATABASE'!#REF!,'MAIN DATABASE'!$F:$F,Summary!$B19,'MAIN DATABASE'!$J:$J,Summary!L$2)</f>
        <v>#REF!</v>
      </c>
      <c r="M19" t="e">
        <f>SUMIFS('MAIN DATABASE'!#REF!,'MAIN DATABASE'!$F:$F,Summary!$B19,'MAIN DATABASE'!$J:$J,Summary!M$2)</f>
        <v>#REF!</v>
      </c>
      <c r="N19" t="e">
        <f>SUMIFS('MAIN DATABASE'!#REF!,'MAIN DATABASE'!$F:$F,Summary!$B19,'MAIN DATABASE'!$J:$J,Summary!N$2)</f>
        <v>#REF!</v>
      </c>
      <c r="O19" t="e">
        <f>SUMIFS('MAIN DATABASE'!#REF!,'MAIN DATABASE'!$F:$F,Summary!$B19,'MAIN DATABASE'!$J:$J,Summary!O$2)</f>
        <v>#REF!</v>
      </c>
      <c r="P19" t="e">
        <f>SUMIFS('MAIN DATABASE'!#REF!,'MAIN DATABASE'!$F:$F,Summary!$B19,'MAIN DATABASE'!$J:$J,Summary!P$2)</f>
        <v>#REF!</v>
      </c>
      <c r="Q19" t="e">
        <f>SUMIFS('MAIN DATABASE'!#REF!,'MAIN DATABASE'!$F:$F,Summary!$B19,'MAIN DATABASE'!$J:$J,Summary!Q$2)</f>
        <v>#REF!</v>
      </c>
      <c r="R19" t="e">
        <f t="shared" si="1"/>
        <v>#REF!</v>
      </c>
      <c r="S19" t="e">
        <f t="shared" si="2"/>
        <v>#REF!</v>
      </c>
      <c r="T19" t="e">
        <f t="shared" si="3"/>
        <v>#REF!</v>
      </c>
      <c r="U19" t="e">
        <f t="shared" si="4"/>
        <v>#REF!</v>
      </c>
    </row>
    <row r="20" spans="2:21">
      <c r="B20" t="s">
        <v>285</v>
      </c>
      <c r="I20">
        <f t="shared" si="0"/>
        <v>0</v>
      </c>
      <c r="J20" t="e">
        <f>SUMIFS('MAIN DATABASE'!#REF!,'MAIN DATABASE'!$F:$F,Summary!$B20,'MAIN DATABASE'!$J:$J,Summary!J$2)</f>
        <v>#REF!</v>
      </c>
      <c r="K20" t="e">
        <f>SUMIFS('MAIN DATABASE'!#REF!,'MAIN DATABASE'!$F:$F,Summary!$B20,'MAIN DATABASE'!$J:$J,Summary!K$2)</f>
        <v>#REF!</v>
      </c>
      <c r="L20" t="e">
        <f>SUMIFS('MAIN DATABASE'!#REF!,'MAIN DATABASE'!$F:$F,Summary!$B20,'MAIN DATABASE'!$J:$J,Summary!L$2)</f>
        <v>#REF!</v>
      </c>
      <c r="M20" t="e">
        <f>SUMIFS('MAIN DATABASE'!#REF!,'MAIN DATABASE'!$F:$F,Summary!$B20,'MAIN DATABASE'!$J:$J,Summary!M$2)</f>
        <v>#REF!</v>
      </c>
      <c r="N20" t="e">
        <f>SUMIFS('MAIN DATABASE'!#REF!,'MAIN DATABASE'!$F:$F,Summary!$B20,'MAIN DATABASE'!$J:$J,Summary!N$2)</f>
        <v>#REF!</v>
      </c>
      <c r="O20" t="e">
        <f>SUMIFS('MAIN DATABASE'!#REF!,'MAIN DATABASE'!$F:$F,Summary!$B20,'MAIN DATABASE'!$J:$J,Summary!O$2)</f>
        <v>#REF!</v>
      </c>
      <c r="P20" t="e">
        <f>SUMIFS('MAIN DATABASE'!#REF!,'MAIN DATABASE'!$F:$F,Summary!$B20,'MAIN DATABASE'!$J:$J,Summary!P$2)</f>
        <v>#REF!</v>
      </c>
      <c r="Q20" t="e">
        <f>SUMIFS('MAIN DATABASE'!#REF!,'MAIN DATABASE'!$F:$F,Summary!$B20,'MAIN DATABASE'!$J:$J,Summary!Q$2)</f>
        <v>#REF!</v>
      </c>
      <c r="R20" t="e">
        <f t="shared" si="1"/>
        <v>#REF!</v>
      </c>
      <c r="S20" t="e">
        <f t="shared" si="2"/>
        <v>#REF!</v>
      </c>
      <c r="T20" t="e">
        <f t="shared" si="3"/>
        <v>#REF!</v>
      </c>
      <c r="U20" t="e">
        <f t="shared" si="4"/>
        <v>#REF!</v>
      </c>
    </row>
    <row r="21" spans="2:21">
      <c r="B21" t="s">
        <v>73</v>
      </c>
      <c r="I21">
        <f t="shared" si="0"/>
        <v>0</v>
      </c>
      <c r="J21" t="e">
        <f>SUMIFS('MAIN DATABASE'!#REF!,'MAIN DATABASE'!$F:$F,Summary!$B21,'MAIN DATABASE'!$J:$J,Summary!J$2)</f>
        <v>#REF!</v>
      </c>
      <c r="K21" t="e">
        <f>SUMIFS('MAIN DATABASE'!#REF!,'MAIN DATABASE'!$F:$F,Summary!$B21,'MAIN DATABASE'!$J:$J,Summary!K$2)</f>
        <v>#REF!</v>
      </c>
      <c r="L21" t="e">
        <f>SUMIFS('MAIN DATABASE'!#REF!,'MAIN DATABASE'!$F:$F,Summary!$B21,'MAIN DATABASE'!$J:$J,Summary!L$2)</f>
        <v>#REF!</v>
      </c>
      <c r="M21" t="e">
        <f>SUMIFS('MAIN DATABASE'!#REF!,'MAIN DATABASE'!$F:$F,Summary!$B21,'MAIN DATABASE'!$J:$J,Summary!M$2)</f>
        <v>#REF!</v>
      </c>
      <c r="N21" t="e">
        <f>SUMIFS('MAIN DATABASE'!#REF!,'MAIN DATABASE'!$F:$F,Summary!$B21,'MAIN DATABASE'!$J:$J,Summary!N$2)</f>
        <v>#REF!</v>
      </c>
      <c r="O21" t="e">
        <f>SUMIFS('MAIN DATABASE'!#REF!,'MAIN DATABASE'!$F:$F,Summary!$B21,'MAIN DATABASE'!$J:$J,Summary!O$2)</f>
        <v>#REF!</v>
      </c>
      <c r="P21" t="e">
        <f>SUMIFS('MAIN DATABASE'!#REF!,'MAIN DATABASE'!$F:$F,Summary!$B21,'MAIN DATABASE'!$J:$J,Summary!P$2)</f>
        <v>#REF!</v>
      </c>
      <c r="Q21" t="e">
        <f>SUMIFS('MAIN DATABASE'!#REF!,'MAIN DATABASE'!$F:$F,Summary!$B21,'MAIN DATABASE'!$J:$J,Summary!Q$2)</f>
        <v>#REF!</v>
      </c>
      <c r="R21" t="e">
        <f t="shared" si="1"/>
        <v>#REF!</v>
      </c>
      <c r="S21" t="e">
        <f t="shared" si="2"/>
        <v>#REF!</v>
      </c>
      <c r="T21" t="e">
        <f t="shared" si="3"/>
        <v>#REF!</v>
      </c>
      <c r="U21" t="e">
        <f t="shared" si="4"/>
        <v>#REF!</v>
      </c>
    </row>
    <row r="22" spans="2:21">
      <c r="B22" t="s">
        <v>284</v>
      </c>
      <c r="I22">
        <f t="shared" si="0"/>
        <v>0</v>
      </c>
      <c r="J22" t="e">
        <f>SUMIFS('MAIN DATABASE'!#REF!,'MAIN DATABASE'!$F:$F,Summary!$B22,'MAIN DATABASE'!$J:$J,Summary!J$2)</f>
        <v>#REF!</v>
      </c>
      <c r="K22" t="e">
        <f>SUMIFS('MAIN DATABASE'!#REF!,'MAIN DATABASE'!$F:$F,Summary!$B22,'MAIN DATABASE'!$J:$J,Summary!K$2)</f>
        <v>#REF!</v>
      </c>
      <c r="L22" t="e">
        <f>SUMIFS('MAIN DATABASE'!#REF!,'MAIN DATABASE'!$F:$F,Summary!$B22,'MAIN DATABASE'!$J:$J,Summary!L$2)</f>
        <v>#REF!</v>
      </c>
      <c r="M22" t="e">
        <f>SUMIFS('MAIN DATABASE'!#REF!,'MAIN DATABASE'!$F:$F,Summary!$B22,'MAIN DATABASE'!$J:$J,Summary!M$2)</f>
        <v>#REF!</v>
      </c>
      <c r="N22" t="e">
        <f>SUMIFS('MAIN DATABASE'!#REF!,'MAIN DATABASE'!$F:$F,Summary!$B22,'MAIN DATABASE'!$J:$J,Summary!N$2)</f>
        <v>#REF!</v>
      </c>
      <c r="O22" t="e">
        <f>SUMIFS('MAIN DATABASE'!#REF!,'MAIN DATABASE'!$F:$F,Summary!$B22,'MAIN DATABASE'!$J:$J,Summary!O$2)</f>
        <v>#REF!</v>
      </c>
      <c r="P22" t="e">
        <f>SUMIFS('MAIN DATABASE'!#REF!,'MAIN DATABASE'!$F:$F,Summary!$B22,'MAIN DATABASE'!$J:$J,Summary!P$2)</f>
        <v>#REF!</v>
      </c>
      <c r="Q22" t="e">
        <f>SUMIFS('MAIN DATABASE'!#REF!,'MAIN DATABASE'!$F:$F,Summary!$B22,'MAIN DATABASE'!$J:$J,Summary!Q$2)</f>
        <v>#REF!</v>
      </c>
      <c r="R22" t="e">
        <f t="shared" si="1"/>
        <v>#REF!</v>
      </c>
      <c r="S22" t="e">
        <f t="shared" si="2"/>
        <v>#REF!</v>
      </c>
      <c r="T22" t="e">
        <f t="shared" si="3"/>
        <v>#REF!</v>
      </c>
      <c r="U22" t="e">
        <f t="shared" si="4"/>
        <v>#REF!</v>
      </c>
    </row>
    <row r="23" spans="2:21">
      <c r="B23" t="s">
        <v>169</v>
      </c>
      <c r="I23">
        <f t="shared" si="0"/>
        <v>0</v>
      </c>
      <c r="J23" t="e">
        <f>SUMIFS('MAIN DATABASE'!#REF!,'MAIN DATABASE'!$F:$F,Summary!$B23,'MAIN DATABASE'!$J:$J,Summary!J$2)</f>
        <v>#REF!</v>
      </c>
      <c r="K23" t="e">
        <f>SUMIFS('MAIN DATABASE'!#REF!,'MAIN DATABASE'!$F:$F,Summary!$B23,'MAIN DATABASE'!$J:$J,Summary!K$2)</f>
        <v>#REF!</v>
      </c>
      <c r="L23" t="e">
        <f>SUMIFS('MAIN DATABASE'!#REF!,'MAIN DATABASE'!$F:$F,Summary!$B23,'MAIN DATABASE'!$J:$J,Summary!L$2)</f>
        <v>#REF!</v>
      </c>
      <c r="M23" t="e">
        <f>SUMIFS('MAIN DATABASE'!#REF!,'MAIN DATABASE'!$F:$F,Summary!$B23,'MAIN DATABASE'!$J:$J,Summary!M$2)</f>
        <v>#REF!</v>
      </c>
      <c r="N23" t="e">
        <f>SUMIFS('MAIN DATABASE'!#REF!,'MAIN DATABASE'!$F:$F,Summary!$B23,'MAIN DATABASE'!$J:$J,Summary!N$2)</f>
        <v>#REF!</v>
      </c>
      <c r="O23" t="e">
        <f>SUMIFS('MAIN DATABASE'!#REF!,'MAIN DATABASE'!$F:$F,Summary!$B23,'MAIN DATABASE'!$J:$J,Summary!O$2)</f>
        <v>#REF!</v>
      </c>
      <c r="P23" t="e">
        <f>SUMIFS('MAIN DATABASE'!#REF!,'MAIN DATABASE'!$F:$F,Summary!$B23,'MAIN DATABASE'!$J:$J,Summary!P$2)</f>
        <v>#REF!</v>
      </c>
      <c r="Q23" t="e">
        <f>SUMIFS('MAIN DATABASE'!#REF!,'MAIN DATABASE'!$F:$F,Summary!$B23,'MAIN DATABASE'!$J:$J,Summary!Q$2)</f>
        <v>#REF!</v>
      </c>
      <c r="R23" t="e">
        <f t="shared" si="1"/>
        <v>#REF!</v>
      </c>
      <c r="S23" t="e">
        <f t="shared" si="2"/>
        <v>#REF!</v>
      </c>
      <c r="T23" t="e">
        <f t="shared" si="3"/>
        <v>#REF!</v>
      </c>
      <c r="U23" t="e">
        <f t="shared" si="4"/>
        <v>#REF!</v>
      </c>
    </row>
    <row r="24" spans="2:21">
      <c r="B24" t="s">
        <v>283</v>
      </c>
      <c r="I24">
        <f t="shared" si="0"/>
        <v>0</v>
      </c>
      <c r="J24" t="e">
        <f>SUMIFS('MAIN DATABASE'!#REF!,'MAIN DATABASE'!$F:$F,Summary!$B24,'MAIN DATABASE'!$J:$J,Summary!J$2)</f>
        <v>#REF!</v>
      </c>
      <c r="K24" t="e">
        <f>SUMIFS('MAIN DATABASE'!#REF!,'MAIN DATABASE'!$F:$F,Summary!$B24,'MAIN DATABASE'!$J:$J,Summary!K$2)</f>
        <v>#REF!</v>
      </c>
      <c r="L24" t="e">
        <f>SUMIFS('MAIN DATABASE'!#REF!,'MAIN DATABASE'!$F:$F,Summary!$B24,'MAIN DATABASE'!$J:$J,Summary!L$2)</f>
        <v>#REF!</v>
      </c>
      <c r="M24" t="e">
        <f>SUMIFS('MAIN DATABASE'!#REF!,'MAIN DATABASE'!$F:$F,Summary!$B24,'MAIN DATABASE'!$J:$J,Summary!M$2)</f>
        <v>#REF!</v>
      </c>
      <c r="N24" t="e">
        <f>SUMIFS('MAIN DATABASE'!#REF!,'MAIN DATABASE'!$F:$F,Summary!$B24,'MAIN DATABASE'!$J:$J,Summary!N$2)</f>
        <v>#REF!</v>
      </c>
      <c r="O24" t="e">
        <f>SUMIFS('MAIN DATABASE'!#REF!,'MAIN DATABASE'!$F:$F,Summary!$B24,'MAIN DATABASE'!$J:$J,Summary!O$2)</f>
        <v>#REF!</v>
      </c>
      <c r="P24" t="e">
        <f>SUMIFS('MAIN DATABASE'!#REF!,'MAIN DATABASE'!$F:$F,Summary!$B24,'MAIN DATABASE'!$J:$J,Summary!P$2)</f>
        <v>#REF!</v>
      </c>
      <c r="Q24" t="e">
        <f>SUMIFS('MAIN DATABASE'!#REF!,'MAIN DATABASE'!$F:$F,Summary!$B24,'MAIN DATABASE'!$J:$J,Summary!Q$2)</f>
        <v>#REF!</v>
      </c>
      <c r="R24" t="e">
        <f t="shared" si="1"/>
        <v>#REF!</v>
      </c>
      <c r="S24" t="e">
        <f t="shared" si="2"/>
        <v>#REF!</v>
      </c>
      <c r="T24" t="e">
        <f t="shared" si="3"/>
        <v>#REF!</v>
      </c>
      <c r="U24" t="e">
        <f t="shared" si="4"/>
        <v>#REF!</v>
      </c>
    </row>
    <row r="25" spans="2:21">
      <c r="B25" t="s">
        <v>161</v>
      </c>
      <c r="I25">
        <f t="shared" si="0"/>
        <v>0</v>
      </c>
      <c r="J25" t="e">
        <f>SUMIFS('MAIN DATABASE'!#REF!,'MAIN DATABASE'!$F:$F,Summary!$B25,'MAIN DATABASE'!$J:$J,Summary!J$2)</f>
        <v>#REF!</v>
      </c>
      <c r="K25" t="e">
        <f>SUMIFS('MAIN DATABASE'!#REF!,'MAIN DATABASE'!$F:$F,Summary!$B25,'MAIN DATABASE'!$J:$J,Summary!K$2)</f>
        <v>#REF!</v>
      </c>
      <c r="L25" t="e">
        <f>SUMIFS('MAIN DATABASE'!#REF!,'MAIN DATABASE'!$F:$F,Summary!$B25,'MAIN DATABASE'!$J:$J,Summary!L$2)</f>
        <v>#REF!</v>
      </c>
      <c r="M25" t="e">
        <f>SUMIFS('MAIN DATABASE'!#REF!,'MAIN DATABASE'!$F:$F,Summary!$B25,'MAIN DATABASE'!$J:$J,Summary!M$2)</f>
        <v>#REF!</v>
      </c>
      <c r="N25" t="e">
        <f>SUMIFS('MAIN DATABASE'!#REF!,'MAIN DATABASE'!$F:$F,Summary!$B25,'MAIN DATABASE'!$J:$J,Summary!N$2)</f>
        <v>#REF!</v>
      </c>
      <c r="O25" t="e">
        <f>SUMIFS('MAIN DATABASE'!#REF!,'MAIN DATABASE'!$F:$F,Summary!$B25,'MAIN DATABASE'!$J:$J,Summary!O$2)</f>
        <v>#REF!</v>
      </c>
      <c r="P25" t="e">
        <f>SUMIFS('MAIN DATABASE'!#REF!,'MAIN DATABASE'!$F:$F,Summary!$B25,'MAIN DATABASE'!$J:$J,Summary!P$2)</f>
        <v>#REF!</v>
      </c>
      <c r="Q25" t="e">
        <f>SUMIFS('MAIN DATABASE'!#REF!,'MAIN DATABASE'!$F:$F,Summary!$B25,'MAIN DATABASE'!$J:$J,Summary!Q$2)</f>
        <v>#REF!</v>
      </c>
      <c r="R25" t="e">
        <f t="shared" si="1"/>
        <v>#REF!</v>
      </c>
      <c r="S25" t="e">
        <f t="shared" si="2"/>
        <v>#REF!</v>
      </c>
      <c r="T25" t="e">
        <f t="shared" si="3"/>
        <v>#REF!</v>
      </c>
      <c r="U25" t="e">
        <f t="shared" si="4"/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Don't Delete</vt:lpstr>
      <vt:lpstr>MAIN DATABASE</vt:lpstr>
      <vt:lpstr>Sheet2</vt:lpstr>
      <vt:lpstr>Summary</vt:lpstr>
      <vt:lpstr>AREA</vt:lpstr>
      <vt:lpstr>BLOOD</vt:lpstr>
      <vt:lpstr>DESIGNATION</vt:lpstr>
      <vt:lpstr>EDUCATION</vt:lpstr>
      <vt:lpstr>REASON</vt:lpstr>
      <vt:lpstr>RELATION</vt:lpstr>
      <vt:lpstr>TERRITORY</vt:lpstr>
      <vt:lpstr>TOWN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TuBa</dc:creator>
  <cp:lastModifiedBy>Mahade Hasan</cp:lastModifiedBy>
  <dcterms:created xsi:type="dcterms:W3CDTF">2019-04-28T05:57:33Z</dcterms:created>
  <dcterms:modified xsi:type="dcterms:W3CDTF">2025-06-25T06:36:18Z</dcterms:modified>
</cp:coreProperties>
</file>